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en_skoroszyt"/>
  <mc:AlternateContent xmlns:mc="http://schemas.openxmlformats.org/markup-compatibility/2006">
    <mc:Choice Requires="x15">
      <x15ac:absPath xmlns:x15ac="http://schemas.microsoft.com/office/spreadsheetml/2010/11/ac" url="D:\Programowanie - projekty\Makra\"/>
    </mc:Choice>
  </mc:AlternateContent>
  <xr:revisionPtr revIDLastSave="0" documentId="13_ncr:1_{4D34728B-9C43-4D49-9922-325BA7E389F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ennik" sheetId="1" r:id="rId1"/>
    <sheet name="Komponenty pozasystemowe" sheetId="6" r:id="rId2"/>
    <sheet name="Wersja do druku" sheetId="7" r:id="rId3"/>
    <sheet name="Baza" sheetId="5" r:id="rId4"/>
  </sheets>
  <definedNames>
    <definedName name="_xlnm._FilterDatabase" localSheetId="0" hidden="1">cennik!$B$7:$P$319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6" l="1"/>
  <c r="C7" i="6" s="1"/>
  <c r="C20" i="6" s="1"/>
  <c r="L31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A1" i="7" l="1"/>
  <c r="B317" i="7"/>
  <c r="B315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I8" i="1"/>
  <c r="H8" i="1" l="1"/>
  <c r="E16" i="6"/>
  <c r="D11" i="6" l="1"/>
  <c r="F11" i="6"/>
  <c r="C17" i="6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G318" i="1" l="1"/>
  <c r="D116" i="1" l="1"/>
  <c r="I116" i="1" s="1"/>
  <c r="D115" i="1"/>
  <c r="I115" i="1" s="1"/>
  <c r="D114" i="1"/>
  <c r="I114" i="1" s="1"/>
  <c r="D113" i="1"/>
  <c r="I113" i="1" s="1"/>
  <c r="D112" i="1"/>
  <c r="I112" i="1" s="1"/>
  <c r="D111" i="1"/>
  <c r="I111" i="1" s="1"/>
  <c r="D110" i="1"/>
  <c r="I110" i="1" s="1"/>
  <c r="D109" i="1"/>
  <c r="I109" i="1" s="1"/>
  <c r="H135" i="1" l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L245" i="1" l="1"/>
  <c r="L246" i="1"/>
  <c r="L247" i="1"/>
  <c r="L248" i="1"/>
  <c r="L249" i="1"/>
  <c r="L250" i="1"/>
  <c r="L251" i="1"/>
  <c r="L252" i="1"/>
  <c r="L9" i="1" l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D90" i="1"/>
  <c r="I90" i="1" s="1"/>
  <c r="D108" i="1"/>
  <c r="I108" i="1" s="1"/>
  <c r="D107" i="1"/>
  <c r="I107" i="1" s="1"/>
  <c r="D106" i="1"/>
  <c r="I106" i="1" s="1"/>
  <c r="D105" i="1"/>
  <c r="I105" i="1" s="1"/>
  <c r="D104" i="1"/>
  <c r="I104" i="1" s="1"/>
  <c r="D103" i="1"/>
  <c r="I103" i="1" s="1"/>
  <c r="D102" i="1"/>
  <c r="I102" i="1" s="1"/>
  <c r="D101" i="1"/>
  <c r="I101" i="1" s="1"/>
  <c r="D100" i="1"/>
  <c r="I100" i="1" s="1"/>
  <c r="D99" i="1"/>
  <c r="I99" i="1" s="1"/>
  <c r="D98" i="1"/>
  <c r="I98" i="1" s="1"/>
  <c r="D97" i="1"/>
  <c r="I97" i="1" s="1"/>
  <c r="D94" i="1"/>
  <c r="I94" i="1" s="1"/>
  <c r="D93" i="1"/>
  <c r="I93" i="1" s="1"/>
  <c r="D92" i="1"/>
  <c r="I92" i="1" s="1"/>
  <c r="D91" i="1"/>
  <c r="I91" i="1" s="1"/>
  <c r="D96" i="1"/>
  <c r="I96" i="1" s="1"/>
  <c r="D95" i="1"/>
  <c r="I95" i="1" s="1"/>
  <c r="H104" i="1" l="1"/>
  <c r="H116" i="1"/>
  <c r="H91" i="1"/>
  <c r="H97" i="1"/>
  <c r="H101" i="1"/>
  <c r="H105" i="1"/>
  <c r="H109" i="1"/>
  <c r="H108" i="1"/>
  <c r="H92" i="1"/>
  <c r="H96" i="1"/>
  <c r="H100" i="1"/>
  <c r="H112" i="1"/>
  <c r="H110" i="1"/>
  <c r="H95" i="1"/>
  <c r="H93" i="1"/>
  <c r="H99" i="1"/>
  <c r="H107" i="1"/>
  <c r="H111" i="1"/>
  <c r="H115" i="1"/>
  <c r="H98" i="1" l="1"/>
  <c r="H102" i="1"/>
  <c r="H90" i="1"/>
  <c r="H114" i="1"/>
  <c r="H94" i="1"/>
  <c r="H103" i="1"/>
  <c r="H113" i="1"/>
  <c r="H106" i="1"/>
  <c r="L8" i="1"/>
  <c r="L317" i="1" s="1"/>
  <c r="B316" i="7" s="1"/>
  <c r="G317" i="1" l="1"/>
  <c r="E11" i="6"/>
  <c r="C12" i="6" l="1"/>
  <c r="C319" i="1" s="1"/>
  <c r="G319" i="1" s="1"/>
  <c r="G320" i="1" s="1"/>
  <c r="G321" i="1" s="1"/>
</calcChain>
</file>

<file path=xl/sharedStrings.xml><?xml version="1.0" encoding="utf-8"?>
<sst xmlns="http://schemas.openxmlformats.org/spreadsheetml/2006/main" count="1028" uniqueCount="458">
  <si>
    <t>CP-1100</t>
    <phoneticPr fontId="0" type="noConversion"/>
  </si>
  <si>
    <t>CP-1200</t>
    <phoneticPr fontId="0" type="noConversion"/>
  </si>
  <si>
    <t>SL-1100</t>
  </si>
  <si>
    <t>SL-1200</t>
    <phoneticPr fontId="0" type="noConversion"/>
  </si>
  <si>
    <t>ST-1110  (430)</t>
    <phoneticPr fontId="0" type="noConversion"/>
  </si>
  <si>
    <t>PL-4014WH</t>
  </si>
  <si>
    <t>PL-4014ED</t>
  </si>
  <si>
    <t>PL-4014GR</t>
  </si>
  <si>
    <t>PL-4014WR</t>
    <phoneticPr fontId="0" type="noConversion"/>
  </si>
  <si>
    <t xml:space="preserve">PL-7314ED </t>
    <phoneticPr fontId="0" type="noConversion"/>
  </si>
  <si>
    <t>PL-7314EG</t>
    <phoneticPr fontId="0" type="noConversion"/>
  </si>
  <si>
    <t>PL-7314WS</t>
  </si>
  <si>
    <t>MT-5211</t>
  </si>
  <si>
    <t>H-1</t>
  </si>
  <si>
    <t>H-1B</t>
  </si>
  <si>
    <t>H-2</t>
  </si>
  <si>
    <t>H-3</t>
  </si>
  <si>
    <t>H-4</t>
  </si>
  <si>
    <t>H-5</t>
  </si>
  <si>
    <t>H-6</t>
  </si>
  <si>
    <t>H-6B</t>
  </si>
  <si>
    <t>H-7</t>
  </si>
  <si>
    <t>H-7B</t>
  </si>
  <si>
    <t>H-8</t>
  </si>
  <si>
    <t>H-9</t>
  </si>
  <si>
    <t>H-10</t>
  </si>
  <si>
    <t>H-11</t>
  </si>
  <si>
    <t>H-11B</t>
  </si>
  <si>
    <t>H-12</t>
  </si>
  <si>
    <t>H-13</t>
  </si>
  <si>
    <t>H-14</t>
  </si>
  <si>
    <t>H-15A</t>
  </si>
  <si>
    <t>H-15B</t>
  </si>
  <si>
    <t>H-16</t>
  </si>
  <si>
    <t>H-16B</t>
  </si>
  <si>
    <t>H-17</t>
  </si>
  <si>
    <t>H-18</t>
  </si>
  <si>
    <t>H-19</t>
  </si>
  <si>
    <t>H-20</t>
  </si>
  <si>
    <t>H-21</t>
  </si>
  <si>
    <t>H-45A</t>
  </si>
  <si>
    <t>H-45B</t>
  </si>
  <si>
    <t>H-108</t>
  </si>
  <si>
    <t>H-162</t>
  </si>
  <si>
    <t>PJ-104C</t>
  </si>
  <si>
    <t>PJ-104D</t>
  </si>
  <si>
    <t>PJ-105</t>
  </si>
  <si>
    <t>PJ-110</t>
    <phoneticPr fontId="0" type="noConversion"/>
  </si>
  <si>
    <t>PJ-113</t>
  </si>
  <si>
    <t>PJ-113B</t>
    <phoneticPr fontId="0" type="noConversion"/>
  </si>
  <si>
    <t>PJ-118</t>
  </si>
  <si>
    <t>PJ-123</t>
  </si>
  <si>
    <t>PJ-138B</t>
  </si>
  <si>
    <t>PJ-138C</t>
  </si>
  <si>
    <t>PJ-138S</t>
  </si>
  <si>
    <t>PJ-140A</t>
  </si>
  <si>
    <t>PJ-141</t>
    <phoneticPr fontId="0" type="noConversion"/>
  </si>
  <si>
    <t>PJ-146</t>
  </si>
  <si>
    <t>PJ-149</t>
  </si>
  <si>
    <t>PJ-159</t>
  </si>
  <si>
    <t>PJ-180</t>
  </si>
  <si>
    <t>PJ-199</t>
    <phoneticPr fontId="0" type="noConversion"/>
  </si>
  <si>
    <t>PM-4010A</t>
  </si>
  <si>
    <t>PM-4010B</t>
  </si>
  <si>
    <t>PM-4010C</t>
  </si>
  <si>
    <t>PM-4010D</t>
  </si>
  <si>
    <t>PM-4010BW</t>
  </si>
  <si>
    <t>PM-4010DA</t>
  </si>
  <si>
    <t>PM-4010BS</t>
  </si>
  <si>
    <t>PM-4010BP</t>
  </si>
  <si>
    <t>PM-4011A</t>
  </si>
  <si>
    <t>PM-4011B</t>
  </si>
  <si>
    <t>PM-4011C</t>
  </si>
  <si>
    <t>PM-4011D</t>
  </si>
  <si>
    <t>PM-7310A</t>
  </si>
  <si>
    <t>PM-7310B</t>
  </si>
  <si>
    <t>PM-7310X</t>
    <phoneticPr fontId="0" type="noConversion"/>
  </si>
  <si>
    <t>PM-7310E</t>
    <phoneticPr fontId="0" type="noConversion"/>
  </si>
  <si>
    <t>SM-2810A</t>
  </si>
  <si>
    <t>SM-2810B</t>
  </si>
  <si>
    <t>SM-2810BP</t>
  </si>
  <si>
    <t>SM-2810C</t>
  </si>
  <si>
    <t>SM-2810D</t>
  </si>
  <si>
    <t>SM-2812A</t>
    <phoneticPr fontId="0" type="noConversion"/>
  </si>
  <si>
    <t>SM-2812B</t>
    <phoneticPr fontId="0" type="noConversion"/>
  </si>
  <si>
    <t>AD-3012SL</t>
  </si>
  <si>
    <t>AC-3828RB</t>
    <phoneticPr fontId="0" type="noConversion"/>
  </si>
  <si>
    <t>AC-3829RB</t>
    <phoneticPr fontId="0" type="noConversion"/>
  </si>
  <si>
    <t>IN-1210L</t>
  </si>
  <si>
    <t>IN-1220L</t>
  </si>
  <si>
    <t>IN-1207S</t>
    <phoneticPr fontId="0" type="noConversion"/>
  </si>
  <si>
    <t>IN-1211S</t>
    <phoneticPr fontId="0" type="noConversion"/>
  </si>
  <si>
    <t>MT-5109</t>
  </si>
  <si>
    <t>MT-5109W</t>
  </si>
  <si>
    <t>MT-5110</t>
  </si>
  <si>
    <t>MT-5111</t>
  </si>
  <si>
    <t>MT-5112</t>
  </si>
  <si>
    <t>MT-5113</t>
  </si>
  <si>
    <t>MT-5114</t>
  </si>
  <si>
    <t>MT-5116</t>
  </si>
  <si>
    <t>MT-5117</t>
  </si>
  <si>
    <t>MT-5118</t>
  </si>
  <si>
    <t>MT-5119</t>
  </si>
  <si>
    <t>MT-5120</t>
  </si>
  <si>
    <t>MT-5123</t>
  </si>
  <si>
    <t>MT-5125</t>
  </si>
  <si>
    <t>MT-5126</t>
  </si>
  <si>
    <t>MT-5127</t>
  </si>
  <si>
    <t>MT-5128</t>
  </si>
  <si>
    <t>MT-5130A</t>
  </si>
  <si>
    <t>MT-5130B</t>
  </si>
  <si>
    <t>MS-4018SV</t>
    <phoneticPr fontId="0" type="noConversion"/>
  </si>
  <si>
    <t>MS-7318SV</t>
    <phoneticPr fontId="0" type="noConversion"/>
  </si>
  <si>
    <t>MT-5141A</t>
  </si>
  <si>
    <t>MT-5145A</t>
  </si>
  <si>
    <t>MT-5145B</t>
  </si>
  <si>
    <t>SC-3028SV</t>
    <phoneticPr fontId="0" type="noConversion"/>
  </si>
  <si>
    <t>MT-5143</t>
  </si>
  <si>
    <t>MT-5147</t>
  </si>
  <si>
    <t>MT-5151</t>
  </si>
  <si>
    <t>MT-5302</t>
  </si>
  <si>
    <t>MT-5303</t>
  </si>
  <si>
    <t>MT-5311</t>
    <phoneticPr fontId="0" type="noConversion"/>
  </si>
  <si>
    <t>MT-5320</t>
    <phoneticPr fontId="0" type="noConversion"/>
  </si>
  <si>
    <t>MT-5321</t>
  </si>
  <si>
    <t>FS-0250</t>
    <phoneticPr fontId="0" type="noConversion"/>
  </si>
  <si>
    <t>FS-0300</t>
    <phoneticPr fontId="0" type="noConversion"/>
  </si>
  <si>
    <t>FS-0350</t>
    <phoneticPr fontId="0" type="noConversion"/>
  </si>
  <si>
    <t>PH-5001B</t>
    <phoneticPr fontId="0" type="noConversion"/>
  </si>
  <si>
    <t>WB-0610</t>
  </si>
  <si>
    <t>WB-0625</t>
  </si>
  <si>
    <t>LH-3010CS</t>
    <phoneticPr fontId="0" type="noConversion"/>
  </si>
  <si>
    <t>LH-3015CS</t>
    <phoneticPr fontId="0" type="noConversion"/>
  </si>
  <si>
    <t>LH-3020CS</t>
    <phoneticPr fontId="0" type="noConversion"/>
  </si>
  <si>
    <t>LH-3030CS</t>
    <phoneticPr fontId="0" type="noConversion"/>
  </si>
  <si>
    <t>LH-5010CL</t>
    <phoneticPr fontId="0" type="noConversion"/>
  </si>
  <si>
    <t>LH-5015CL</t>
    <phoneticPr fontId="0" type="noConversion"/>
  </si>
  <si>
    <t>LH-5020CL</t>
    <phoneticPr fontId="0" type="noConversion"/>
  </si>
  <si>
    <t>LH-5030CL</t>
    <phoneticPr fontId="0" type="noConversion"/>
  </si>
  <si>
    <t>NP-120</t>
  </si>
  <si>
    <t>NP-152</t>
  </si>
  <si>
    <t>NP-180</t>
  </si>
  <si>
    <t>NP-210</t>
    <phoneticPr fontId="0" type="noConversion"/>
  </si>
  <si>
    <t>NP-215</t>
  </si>
  <si>
    <t>NP-220</t>
  </si>
  <si>
    <t>NP-300</t>
  </si>
  <si>
    <t>NP-307</t>
  </si>
  <si>
    <t>NP-430</t>
  </si>
  <si>
    <t>PA-4028T3</t>
  </si>
  <si>
    <t>PA-4028B</t>
    <phoneticPr fontId="0" type="noConversion"/>
  </si>
  <si>
    <t>CD-3000T</t>
    <phoneticPr fontId="0" type="noConversion"/>
  </si>
  <si>
    <t>CD-3000B</t>
    <phoneticPr fontId="0" type="noConversion"/>
  </si>
  <si>
    <t>PA-401A</t>
  </si>
  <si>
    <t>PA-402B</t>
  </si>
  <si>
    <t>PA-403C</t>
  </si>
  <si>
    <t>PA-404D</t>
    <phoneticPr fontId="0" type="noConversion"/>
  </si>
  <si>
    <t>PA-405E</t>
    <phoneticPr fontId="0" type="noConversion"/>
  </si>
  <si>
    <t>DP-051520</t>
    <phoneticPr fontId="0" type="noConversion"/>
  </si>
  <si>
    <t>DP-051525</t>
  </si>
  <si>
    <t>DP-051530</t>
  </si>
  <si>
    <t>DP-091330</t>
  </si>
  <si>
    <t>DP-091520</t>
    <phoneticPr fontId="0" type="noConversion"/>
  </si>
  <si>
    <t>DE-051530</t>
  </si>
  <si>
    <t>EM-060010</t>
  </si>
  <si>
    <t>EM-080010</t>
  </si>
  <si>
    <t>EM-090010</t>
  </si>
  <si>
    <t>EM-100010</t>
  </si>
  <si>
    <t>EM-120010</t>
  </si>
  <si>
    <t>GM-120030</t>
  </si>
  <si>
    <t>NW-150100</t>
  </si>
  <si>
    <t>TH-0001</t>
    <phoneticPr fontId="0" type="noConversion"/>
  </si>
  <si>
    <t>TH-0002</t>
  </si>
  <si>
    <t>TH-0003</t>
  </si>
  <si>
    <t>TH-0005</t>
    <phoneticPr fontId="0" type="noConversion"/>
  </si>
  <si>
    <t>TH-0005</t>
  </si>
  <si>
    <t>BC-701S</t>
  </si>
  <si>
    <t>PLACON73</t>
  </si>
  <si>
    <t>SLIDE PIPE</t>
  </si>
  <si>
    <t>STAINLESS PIPE</t>
  </si>
  <si>
    <t xml:space="preserve">PLACON
40 SERIES (STEEL) 
</t>
  </si>
  <si>
    <t>ZN ANGLE</t>
  </si>
  <si>
    <t xml:space="preserve">METAL JOINT
</t>
  </si>
  <si>
    <t xml:space="preserve">PLASTIC JOINT </t>
  </si>
  <si>
    <t>PLACON MOUNT
(40 STEEL)</t>
  </si>
  <si>
    <t>NEW PLACON MOUNT
(40 STEEL)</t>
  </si>
  <si>
    <t>PLACON MOUNT
(73 STEEL)</t>
  </si>
  <si>
    <t>SLIDE MOUNT</t>
  </si>
  <si>
    <t>ADJUSTER 1/2</t>
  </si>
  <si>
    <t>RUBBER CAP</t>
  </si>
  <si>
    <t>INSERT NUT(1/2")</t>
  </si>
  <si>
    <t>CASTER STRAP</t>
  </si>
  <si>
    <t>PIPE CLAMP</t>
  </si>
  <si>
    <t>BOARD FIXING</t>
  </si>
  <si>
    <t>BOARD BRACKET</t>
  </si>
  <si>
    <t>CORNER GUARD</t>
  </si>
  <si>
    <t>OVERLAP CAP</t>
  </si>
  <si>
    <t>SQUARE CAP</t>
  </si>
  <si>
    <t>PIPE HANGER</t>
  </si>
  <si>
    <t>STANCHION MOUNT</t>
  </si>
  <si>
    <t>PIPE CONNECTOR</t>
  </si>
  <si>
    <t>BAND HANGER</t>
  </si>
  <si>
    <t>LOCK MOUNT</t>
  </si>
  <si>
    <t>HANGER U-TYPE</t>
  </si>
  <si>
    <t>SHELF HING</t>
  </si>
  <si>
    <t>HANDLE FIXING</t>
  </si>
  <si>
    <t>TOOL HANGER</t>
  </si>
  <si>
    <t>CORNER PLATE</t>
  </si>
  <si>
    <t>CASTER PLATE</t>
  </si>
  <si>
    <t xml:space="preserve"> MIDDLE STOPPER</t>
  </si>
  <si>
    <t>FORKLIFT HOOK</t>
  </si>
  <si>
    <t>TRACTION ARM</t>
  </si>
  <si>
    <t>TRACTION HOOK</t>
  </si>
  <si>
    <t>TRACTION ARM-A</t>
  </si>
  <si>
    <t>TRACTION HOOK-A</t>
  </si>
  <si>
    <t>TRACTION ARM-B</t>
  </si>
  <si>
    <t>TRACTION HOOK-B</t>
  </si>
  <si>
    <t>STEEL CAP</t>
  </si>
  <si>
    <t>GAS SPRING</t>
  </si>
  <si>
    <t>SLIDE RAIL</t>
  </si>
  <si>
    <t>FLOOR LOCK</t>
  </si>
  <si>
    <t>SHOOTER FLOW RACK</t>
  </si>
  <si>
    <t>CASTER HOLDER</t>
  </si>
  <si>
    <t>BOX STOPPER</t>
  </si>
  <si>
    <t>FOLDING SHELF BRACKET</t>
  </si>
  <si>
    <t>TOOL HOLDER</t>
  </si>
  <si>
    <t>WRENCH BOLT(BK/SV)</t>
  </si>
  <si>
    <t>T-NUT</t>
  </si>
  <si>
    <t>NEW
NAME PLATE</t>
  </si>
  <si>
    <t>PVC NAME PLATE</t>
  </si>
  <si>
    <t>PIPE COVER</t>
  </si>
  <si>
    <t>CABLE DUCT</t>
  </si>
  <si>
    <t>GUIDE RAIL</t>
  </si>
  <si>
    <t>DANPLA SHEET</t>
  </si>
  <si>
    <t>DANPLA SHEET (ESD)</t>
  </si>
  <si>
    <t>ESD MAT</t>
  </si>
  <si>
    <t>GENERAL MAT(GREEN)</t>
  </si>
  <si>
    <t>NON-WOVEN FABRIC</t>
  </si>
  <si>
    <t>YARNED THREAD HOSE</t>
  </si>
  <si>
    <t>TRANSPARENT HOSE</t>
  </si>
  <si>
    <t>ATILON HOSE</t>
  </si>
  <si>
    <t>FOAM HOSE</t>
  </si>
  <si>
    <t>BALL CASTER</t>
  </si>
  <si>
    <t>WAGA</t>
  </si>
  <si>
    <t>ST-1070  (201)</t>
  </si>
  <si>
    <t xml:space="preserve">SUMA </t>
  </si>
  <si>
    <t>MONTAŻ</t>
  </si>
  <si>
    <t>PP-100 (4510O RBL)</t>
  </si>
  <si>
    <t>PPH-100 (4510ORBLB)</t>
  </si>
  <si>
    <t xml:space="preserve">P-100 </t>
  </si>
  <si>
    <t xml:space="preserve">PP-125 W </t>
  </si>
  <si>
    <t xml:space="preserve">PPH-125 W </t>
  </si>
  <si>
    <t>P-125 W</t>
  </si>
  <si>
    <t>PP-125 R</t>
  </si>
  <si>
    <t>PPH-125 R</t>
  </si>
  <si>
    <t>P-125 R</t>
  </si>
  <si>
    <t>PP-125 G</t>
  </si>
  <si>
    <t>PPH-125 G</t>
  </si>
  <si>
    <t>P-125 G</t>
  </si>
  <si>
    <t>PP-160 G</t>
  </si>
  <si>
    <t>PPF-160 G</t>
  </si>
  <si>
    <t>P-160 G</t>
  </si>
  <si>
    <t>LP-1100 WH</t>
  </si>
  <si>
    <t>LP-1200 WH</t>
  </si>
  <si>
    <t>LP-1100 BL</t>
  </si>
  <si>
    <t>LP-1200 BL</t>
  </si>
  <si>
    <t>LP-1100 GR</t>
  </si>
  <si>
    <t>LP-1100 IV</t>
  </si>
  <si>
    <t>H-1B SV</t>
  </si>
  <si>
    <t>H-2 SV</t>
  </si>
  <si>
    <t>H-3 SV</t>
  </si>
  <si>
    <t>H-4 SV</t>
  </si>
  <si>
    <t>H-5 SV</t>
  </si>
  <si>
    <t>H-6 SV</t>
  </si>
  <si>
    <t>H-6B SV</t>
  </si>
  <si>
    <t>H-7 SV</t>
  </si>
  <si>
    <t>H-7B SV</t>
  </si>
  <si>
    <t>H-8 SV</t>
  </si>
  <si>
    <t>H-9 SV</t>
  </si>
  <si>
    <t>H-10 SV</t>
  </si>
  <si>
    <t>H-11 SV</t>
  </si>
  <si>
    <t>H-11B SV</t>
  </si>
  <si>
    <t>H-12 SV</t>
  </si>
  <si>
    <t>H-13 SV</t>
  </si>
  <si>
    <t>H-14 SV</t>
  </si>
  <si>
    <t>H-15A SV</t>
  </si>
  <si>
    <t>H-15B SV</t>
  </si>
  <si>
    <t>H-16 SV</t>
  </si>
  <si>
    <t>H-16B SV</t>
  </si>
  <si>
    <t>H-17 SV</t>
  </si>
  <si>
    <t>H-18 SV</t>
  </si>
  <si>
    <t>H-19 SV</t>
  </si>
  <si>
    <t>H-20 SV</t>
  </si>
  <si>
    <t>H-21 SV</t>
  </si>
  <si>
    <t>H-45A SV</t>
  </si>
  <si>
    <t>H-45B SV</t>
  </si>
  <si>
    <t>H-108 SV</t>
  </si>
  <si>
    <t>H-1 SV</t>
  </si>
  <si>
    <t>H-162 SV</t>
  </si>
  <si>
    <t>EXP-1</t>
  </si>
  <si>
    <t>EXP-2</t>
  </si>
  <si>
    <t xml:space="preserve">F-100 </t>
  </si>
  <si>
    <t xml:space="preserve">FH-100 </t>
  </si>
  <si>
    <t xml:space="preserve">FH-75 </t>
  </si>
  <si>
    <t xml:space="preserve">F-75 </t>
  </si>
  <si>
    <t xml:space="preserve">FH-60 </t>
  </si>
  <si>
    <t xml:space="preserve">F-60 </t>
  </si>
  <si>
    <t>NU-0600</t>
  </si>
  <si>
    <t>Wamech (cena z exp)</t>
  </si>
  <si>
    <t>Blickle</t>
  </si>
  <si>
    <t>Wamech</t>
  </si>
  <si>
    <t>Stopka (Wamech)</t>
  </si>
  <si>
    <t>SO-3</t>
  </si>
  <si>
    <t>MS-6018SV</t>
  </si>
  <si>
    <t>MT-5301</t>
  </si>
  <si>
    <t>FS-0200</t>
  </si>
  <si>
    <t>HJ-1</t>
  </si>
  <si>
    <t>HJ-2</t>
  </si>
  <si>
    <t>HJ-3</t>
  </si>
  <si>
    <t>HJ-4</t>
  </si>
  <si>
    <t>HJ-5</t>
  </si>
  <si>
    <t>HJ-6</t>
  </si>
  <si>
    <t>HJ-6B</t>
  </si>
  <si>
    <t>HJ-7</t>
  </si>
  <si>
    <t>HJ-7B</t>
  </si>
  <si>
    <t>HJ-8</t>
  </si>
  <si>
    <t>HJ-9</t>
  </si>
  <si>
    <t>HJ-10</t>
  </si>
  <si>
    <t>HJ-11</t>
  </si>
  <si>
    <t>HJ-11B</t>
  </si>
  <si>
    <t>HJ-12</t>
  </si>
  <si>
    <t>HJ-13</t>
  </si>
  <si>
    <t>HJ-14</t>
  </si>
  <si>
    <t>HJ-15</t>
  </si>
  <si>
    <t>HJ-16</t>
  </si>
  <si>
    <t>HJ-17</t>
  </si>
  <si>
    <t>HJ-18</t>
  </si>
  <si>
    <t>HJ-19</t>
  </si>
  <si>
    <t>HJ-20</t>
  </si>
  <si>
    <t>HJ-21</t>
  </si>
  <si>
    <t>HJ-45</t>
  </si>
  <si>
    <t>HJ-108</t>
  </si>
  <si>
    <t>HJ-162</t>
  </si>
  <si>
    <t>MT-5148-6</t>
  </si>
  <si>
    <t>MT-5148-4</t>
  </si>
  <si>
    <t xml:space="preserve">  </t>
  </si>
  <si>
    <t>PH-5001A</t>
  </si>
  <si>
    <t>LH-302000CS</t>
  </si>
  <si>
    <t>MARŻA</t>
  </si>
  <si>
    <t>KURS EURO</t>
  </si>
  <si>
    <t>PLN</t>
  </si>
  <si>
    <t>PM-4010X</t>
  </si>
  <si>
    <t>PM-4011BW</t>
  </si>
  <si>
    <t>PM-4011DA</t>
  </si>
  <si>
    <t>SM-2810G</t>
  </si>
  <si>
    <t>AD-3012SS</t>
  </si>
  <si>
    <t>AD-5012LS</t>
  </si>
  <si>
    <t>AD-5012LL</t>
  </si>
  <si>
    <t>MT-5119W</t>
  </si>
  <si>
    <t>MT-5121</t>
  </si>
  <si>
    <t>MT-5131</t>
  </si>
  <si>
    <t>MT-5138L</t>
  </si>
  <si>
    <t>MT-5138R</t>
  </si>
  <si>
    <t>MT-5139L</t>
  </si>
  <si>
    <t>MT-5139R</t>
  </si>
  <si>
    <t>MT-5100</t>
  </si>
  <si>
    <t>MT-5140A</t>
  </si>
  <si>
    <t>MT-5142B</t>
  </si>
  <si>
    <t>MT-5143A</t>
  </si>
  <si>
    <t>MT-5143B</t>
  </si>
  <si>
    <t>MT-5144A</t>
  </si>
  <si>
    <t>MT-5144B</t>
  </si>
  <si>
    <t>MT-5144C</t>
  </si>
  <si>
    <t>MT-5145C</t>
  </si>
  <si>
    <t>PJ-201</t>
  </si>
  <si>
    <t>PM-4010E</t>
  </si>
  <si>
    <t>PM-4010BR</t>
  </si>
  <si>
    <t>RABAT</t>
  </si>
  <si>
    <t>Komponent</t>
  </si>
  <si>
    <t>Cena</t>
  </si>
  <si>
    <t>Link</t>
  </si>
  <si>
    <t>Wyłącznik nadprądowy</t>
  </si>
  <si>
    <t>Wyłącznik różnicowo-nadprądowy</t>
  </si>
  <si>
    <t>Łącznik pojedyńczy</t>
  </si>
  <si>
    <t>Dławnica kablowa</t>
  </si>
  <si>
    <t>Przewód linka</t>
  </si>
  <si>
    <t>Przewód drut</t>
  </si>
  <si>
    <t>Wtyczka</t>
  </si>
  <si>
    <t>Lampa Facile 60 cm</t>
  </si>
  <si>
    <t>Lampa Facile 120 cm</t>
  </si>
  <si>
    <t>Lampa Facile 150 cm</t>
  </si>
  <si>
    <t>Rozdzielnica</t>
  </si>
  <si>
    <t>Puszka</t>
  </si>
  <si>
    <t>Klips do maty</t>
  </si>
  <si>
    <t>Mata ESD</t>
  </si>
  <si>
    <t>Łącznik podwójny</t>
  </si>
  <si>
    <t>Gniazdo 2x230V</t>
  </si>
  <si>
    <t>Gniazdo 3x230V</t>
  </si>
  <si>
    <t>Gniazdo Legrand</t>
  </si>
  <si>
    <t>Elektryka</t>
  </si>
  <si>
    <t>Szary</t>
  </si>
  <si>
    <t>Biały</t>
  </si>
  <si>
    <t>Żółty</t>
  </si>
  <si>
    <t>Zielony</t>
  </si>
  <si>
    <t>Czerwony</t>
  </si>
  <si>
    <t>Kolor blatów</t>
  </si>
  <si>
    <t>Kolor</t>
  </si>
  <si>
    <t>Grubość</t>
  </si>
  <si>
    <t>Szerokość</t>
  </si>
  <si>
    <t>Ilość sztuk</t>
  </si>
  <si>
    <t>CNC</t>
  </si>
  <si>
    <t>SUMA</t>
  </si>
  <si>
    <t>ELEKTRYKA</t>
  </si>
  <si>
    <t>BLATY</t>
  </si>
  <si>
    <t>Firma</t>
  </si>
  <si>
    <t>INNE</t>
  </si>
  <si>
    <t>Wartość łączna</t>
  </si>
  <si>
    <t>a</t>
  </si>
  <si>
    <t>b</t>
  </si>
  <si>
    <t>PODSUMOWANIE</t>
  </si>
  <si>
    <t>KOMPONENTY POZASYSTEMOWE</t>
  </si>
  <si>
    <t>CZAS MONTAŻU</t>
  </si>
  <si>
    <t>WAGA ŁĄCZNA</t>
  </si>
  <si>
    <t>MONTAŻ JEDNOSTKOWY</t>
  </si>
  <si>
    <r>
      <t xml:space="preserve">Q-PIPE </t>
    </r>
    <r>
      <rPr>
        <b/>
        <sz val="11"/>
        <rFont val="Calibri"/>
        <family val="2"/>
        <charset val="238"/>
        <scheme val="minor"/>
      </rPr>
      <t>WHITE</t>
    </r>
  </si>
  <si>
    <r>
      <t xml:space="preserve">Q-PIPE </t>
    </r>
    <r>
      <rPr>
        <b/>
        <sz val="11"/>
        <rFont val="Calibri"/>
        <family val="2"/>
        <charset val="238"/>
        <scheme val="minor"/>
      </rPr>
      <t>BLUE</t>
    </r>
  </si>
  <si>
    <r>
      <t xml:space="preserve">Q-PIPE </t>
    </r>
    <r>
      <rPr>
        <b/>
        <sz val="11"/>
        <rFont val="Calibri"/>
        <family val="2"/>
        <charset val="238"/>
        <scheme val="minor"/>
      </rPr>
      <t>GRAY</t>
    </r>
  </si>
  <si>
    <r>
      <t xml:space="preserve">Q-PIPE </t>
    </r>
    <r>
      <rPr>
        <b/>
        <sz val="11"/>
        <rFont val="Calibri"/>
        <family val="2"/>
        <charset val="238"/>
        <scheme val="minor"/>
      </rPr>
      <t>IVORY</t>
    </r>
  </si>
  <si>
    <r>
      <t xml:space="preserve">CONDUCTIVE PIPE </t>
    </r>
    <r>
      <rPr>
        <sz val="11"/>
        <color theme="0"/>
        <rFont val="Calibri"/>
        <family val="2"/>
        <charset val="238"/>
        <scheme val="minor"/>
      </rPr>
      <t>(ESD)</t>
    </r>
  </si>
  <si>
    <r>
      <t xml:space="preserve">F-75 </t>
    </r>
    <r>
      <rPr>
        <b/>
        <sz val="11"/>
        <color theme="0"/>
        <rFont val="Calibri"/>
        <family val="2"/>
        <charset val="238"/>
        <scheme val="minor"/>
      </rPr>
      <t>ESD</t>
    </r>
    <r>
      <rPr>
        <sz val="11"/>
        <color theme="0"/>
        <rFont val="Calibri"/>
        <family val="2"/>
        <charset val="238"/>
        <scheme val="minor"/>
      </rPr>
      <t xml:space="preserve"> </t>
    </r>
  </si>
  <si>
    <r>
      <t xml:space="preserve">FH-75 </t>
    </r>
    <r>
      <rPr>
        <b/>
        <sz val="11"/>
        <color theme="0"/>
        <rFont val="Calibri"/>
        <family val="2"/>
        <charset val="238"/>
        <scheme val="minor"/>
      </rPr>
      <t xml:space="preserve">ESD </t>
    </r>
  </si>
  <si>
    <r>
      <t xml:space="preserve">F-100 </t>
    </r>
    <r>
      <rPr>
        <b/>
        <sz val="11"/>
        <color theme="0"/>
        <rFont val="Calibri"/>
        <family val="2"/>
        <charset val="238"/>
        <scheme val="minor"/>
      </rPr>
      <t>ESD</t>
    </r>
    <r>
      <rPr>
        <sz val="11"/>
        <color theme="1"/>
        <rFont val="Calibri"/>
        <family val="2"/>
        <charset val="238"/>
        <scheme val="minor"/>
      </rPr>
      <t/>
    </r>
  </si>
  <si>
    <r>
      <t xml:space="preserve">FH-100 </t>
    </r>
    <r>
      <rPr>
        <b/>
        <sz val="11"/>
        <color theme="0"/>
        <rFont val="Calibri"/>
        <family val="2"/>
        <charset val="238"/>
        <scheme val="minor"/>
      </rPr>
      <t>ESD</t>
    </r>
    <r>
      <rPr>
        <sz val="11"/>
        <color theme="0"/>
        <rFont val="Calibri"/>
        <family val="2"/>
        <charset val="238"/>
        <scheme val="minor"/>
      </rPr>
      <t xml:space="preserve"> </t>
    </r>
  </si>
  <si>
    <t>Firma - Data - Nazwa konstrukcji</t>
  </si>
  <si>
    <t>SUMA WSZYSTKICH KOMPONENTÓW</t>
  </si>
  <si>
    <t>Blaty</t>
  </si>
  <si>
    <t>Kolumna1</t>
  </si>
  <si>
    <t>PROJEKTANT</t>
  </si>
  <si>
    <t>KP</t>
  </si>
  <si>
    <t>OPIS</t>
  </si>
  <si>
    <t>SYMBOL</t>
  </si>
  <si>
    <t>CENA</t>
  </si>
  <si>
    <t>PO RABACIE</t>
  </si>
  <si>
    <t>ILOŚĆ SZT.</t>
  </si>
  <si>
    <t>CENA ŁĄCZNA</t>
  </si>
  <si>
    <t>CENA ŁĄCZNA 2</t>
  </si>
  <si>
    <t>Po montażu</t>
  </si>
  <si>
    <t>Montaż</t>
  </si>
  <si>
    <t>Waga</t>
  </si>
  <si>
    <t>Projektant</t>
  </si>
  <si>
    <t>Marcin</t>
  </si>
  <si>
    <t>Maciek</t>
  </si>
  <si>
    <t>1 szt.</t>
  </si>
  <si>
    <t>Natan</t>
  </si>
  <si>
    <t>OKLEINA</t>
  </si>
  <si>
    <t>Marcin W.</t>
  </si>
  <si>
    <t>Cena okleiny</t>
  </si>
  <si>
    <t>Głębokość</t>
  </si>
  <si>
    <t>CIĘCIE I PŁYTY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</si>
</sst>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zł&quot;_-;\-* #,##0.00\ &quot;zł&quot;_-;_-* &quot;-&quot;??\ &quot;zł&quot;_-;_-@_-"/>
    <numFmt numFmtId="164" formatCode="_-[$€-2]\ * #,##0.00_-;\-[$€-2]\ * #,##0.00_-;_-[$€-2]\ * &quot;-&quot;??_-;_-@_-"/>
    <numFmt numFmtId="165" formatCode="#,##0.00\ [$PLN];\-#,##0.00\ [$PLN]"/>
    <numFmt numFmtId="166" formatCode="#,##0.00\ [$€-1]"/>
    <numFmt numFmtId="167" formatCode="_-* #,##0.00\ [$€-1]_-;\-* #,##0.00\ [$€-1]_-;_-* &quot;-&quot;??\ [$€-1]_-;_-@_-"/>
    <numFmt numFmtId="168" formatCode="#,##0.00\ &quot;zł&quot;"/>
  </numFmts>
  <fonts count="21" x14ac:knownFonts="1">
    <font>
      <sz val="11"/>
      <color theme="1"/>
      <name val="Calibri"/>
      <family val="2"/>
      <charset val="238"/>
      <scheme val="minor"/>
    </font>
    <font>
      <sz val="10"/>
      <name val="Verdana"/>
      <family val="2"/>
      <charset val="238"/>
    </font>
    <font>
      <sz val="10"/>
      <color theme="1"/>
      <name val="Verdana"/>
      <family val="2"/>
      <charset val="238"/>
    </font>
    <font>
      <b/>
      <sz val="10"/>
      <color theme="1"/>
      <name val="Verdana"/>
      <family val="2"/>
      <charset val="238"/>
    </font>
    <font>
      <sz val="10"/>
      <color indexed="8"/>
      <name val="Verdana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color theme="1"/>
      <name val="Verdana"/>
      <family val="2"/>
      <charset val="238"/>
    </font>
    <font>
      <sz val="10"/>
      <name val="Verdana"/>
      <family val="2"/>
      <charset val="238"/>
    </font>
    <font>
      <sz val="10"/>
      <color theme="1"/>
      <name val="Verdana"/>
      <family val="2"/>
      <charset val="238"/>
    </font>
    <font>
      <b/>
      <sz val="10"/>
      <color theme="0" tint="-0.499984740745262"/>
      <name val="Verdana"/>
      <family val="2"/>
      <charset val="238"/>
    </font>
    <font>
      <sz val="10"/>
      <color indexed="8"/>
      <name val="Verdana"/>
      <family val="2"/>
      <charset val="238"/>
    </font>
    <font>
      <sz val="12"/>
      <color theme="1"/>
      <name val="Verdana"/>
      <family val="2"/>
      <charset val="238"/>
    </font>
    <font>
      <b/>
      <sz val="12"/>
      <color theme="1"/>
      <name val="Verdana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indexed="8"/>
      <name val="Verdana"/>
      <family val="2"/>
      <charset val="238"/>
    </font>
    <font>
      <sz val="10"/>
      <color theme="0"/>
      <name val="Verdana"/>
      <family val="2"/>
      <charset val="238"/>
    </font>
    <font>
      <sz val="9"/>
      <name val="Verdana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6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theme="2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2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10" fillId="3" borderId="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164" fontId="11" fillId="3" borderId="2" xfId="0" applyNumberFormat="1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164" fontId="11" fillId="6" borderId="2" xfId="0" applyNumberFormat="1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164" fontId="11" fillId="6" borderId="9" xfId="0" applyNumberFormat="1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 vertical="center"/>
    </xf>
    <xf numFmtId="164" fontId="11" fillId="11" borderId="2" xfId="0" applyNumberFormat="1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64" fontId="11" fillId="7" borderId="2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3" xfId="0" applyFont="1" applyBorder="1" applyAlignment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164" fontId="11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6" borderId="8" xfId="0" applyFont="1" applyFill="1" applyBorder="1" applyAlignment="1">
      <alignment horizontal="center" vertical="center"/>
    </xf>
    <xf numFmtId="164" fontId="11" fillId="9" borderId="9" xfId="0" applyNumberFormat="1" applyFont="1" applyFill="1" applyBorder="1" applyAlignment="1" applyProtection="1">
      <alignment horizontal="center" vertical="center"/>
      <protection hidden="1"/>
    </xf>
    <xf numFmtId="0" fontId="11" fillId="6" borderId="4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164" fontId="2" fillId="3" borderId="2" xfId="0" applyNumberFormat="1" applyFont="1" applyFill="1" applyBorder="1"/>
    <xf numFmtId="164" fontId="2" fillId="3" borderId="17" xfId="0" applyNumberFormat="1" applyFont="1" applyFill="1" applyBorder="1"/>
    <xf numFmtId="164" fontId="2" fillId="6" borderId="2" xfId="0" applyNumberFormat="1" applyFont="1" applyFill="1" applyBorder="1"/>
    <xf numFmtId="0" fontId="1" fillId="0" borderId="2" xfId="0" applyFont="1" applyBorder="1" applyAlignment="1">
      <alignment horizontal="center" vertical="center"/>
    </xf>
    <xf numFmtId="164" fontId="2" fillId="0" borderId="2" xfId="0" applyNumberFormat="1" applyFont="1" applyBorder="1"/>
    <xf numFmtId="164" fontId="11" fillId="0" borderId="2" xfId="0" applyNumberFormat="1" applyFont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23" xfId="0" applyBorder="1" applyAlignment="1"/>
    <xf numFmtId="0" fontId="0" fillId="0" borderId="0" xfId="0" applyBorder="1" applyAlignment="1"/>
    <xf numFmtId="0" fontId="0" fillId="0" borderId="24" xfId="0" applyBorder="1" applyAlignment="1"/>
    <xf numFmtId="0" fontId="0" fillId="0" borderId="7" xfId="0" applyBorder="1"/>
    <xf numFmtId="0" fontId="0" fillId="0" borderId="24" xfId="0" applyBorder="1"/>
    <xf numFmtId="0" fontId="0" fillId="13" borderId="20" xfId="0" applyFill="1" applyBorder="1" applyAlignment="1">
      <alignment horizontal="center"/>
    </xf>
    <xf numFmtId="0" fontId="0" fillId="0" borderId="21" xfId="0" applyBorder="1" applyAlignment="1">
      <alignment vertical="center"/>
    </xf>
    <xf numFmtId="0" fontId="0" fillId="13" borderId="19" xfId="0" applyFill="1" applyBorder="1" applyAlignment="1">
      <alignment horizontal="center"/>
    </xf>
    <xf numFmtId="0" fontId="0" fillId="0" borderId="21" xfId="0" applyBorder="1"/>
    <xf numFmtId="0" fontId="0" fillId="12" borderId="20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25" xfId="0" applyFill="1" applyBorder="1" applyAlignment="1">
      <alignment horizontal="center" vertical="center" wrapText="1"/>
    </xf>
    <xf numFmtId="0" fontId="11" fillId="0" borderId="0" xfId="0" applyFont="1" applyAlignment="1"/>
    <xf numFmtId="166" fontId="8" fillId="0" borderId="6" xfId="0" applyNumberFormat="1" applyFont="1" applyBorder="1" applyAlignment="1">
      <alignment horizontal="center"/>
    </xf>
    <xf numFmtId="0" fontId="10" fillId="12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9" fillId="15" borderId="28" xfId="0" applyFont="1" applyFill="1" applyBorder="1" applyAlignment="1">
      <alignment horizontal="center" vertical="center"/>
    </xf>
    <xf numFmtId="0" fontId="19" fillId="15" borderId="27" xfId="0" applyFont="1" applyFill="1" applyBorder="1" applyAlignment="1">
      <alignment horizontal="center" vertical="center"/>
    </xf>
    <xf numFmtId="0" fontId="19" fillId="15" borderId="18" xfId="0" applyFont="1" applyFill="1" applyBorder="1" applyAlignment="1">
      <alignment horizontal="center" vertical="center"/>
    </xf>
    <xf numFmtId="0" fontId="19" fillId="15" borderId="29" xfId="0" applyFont="1" applyFill="1" applyBorder="1" applyAlignment="1">
      <alignment horizontal="center" vertical="center"/>
    </xf>
    <xf numFmtId="0" fontId="19" fillId="15" borderId="31" xfId="0" applyFont="1" applyFill="1" applyBorder="1" applyAlignment="1">
      <alignment horizontal="center" vertical="center"/>
    </xf>
    <xf numFmtId="0" fontId="19" fillId="15" borderId="30" xfId="0" applyFont="1" applyFill="1" applyBorder="1" applyAlignment="1">
      <alignment horizontal="center" vertical="center"/>
    </xf>
    <xf numFmtId="0" fontId="10" fillId="16" borderId="3" xfId="0" applyFont="1" applyFill="1" applyBorder="1" applyAlignment="1">
      <alignment horizontal="center" vertical="center"/>
    </xf>
    <xf numFmtId="0" fontId="19" fillId="15" borderId="32" xfId="0" applyFont="1" applyFill="1" applyBorder="1" applyAlignment="1">
      <alignment horizontal="center" vertical="center"/>
    </xf>
    <xf numFmtId="0" fontId="19" fillId="15" borderId="33" xfId="0" applyFont="1" applyFill="1" applyBorder="1" applyAlignment="1">
      <alignment horizontal="center" vertical="center"/>
    </xf>
    <xf numFmtId="0" fontId="19" fillId="15" borderId="8" xfId="0" applyFont="1" applyFill="1" applyBorder="1" applyAlignment="1">
      <alignment horizontal="center" vertical="center"/>
    </xf>
    <xf numFmtId="164" fontId="11" fillId="17" borderId="2" xfId="0" applyNumberFormat="1" applyFont="1" applyFill="1" applyBorder="1" applyAlignment="1">
      <alignment horizontal="center" vertical="center"/>
    </xf>
    <xf numFmtId="164" fontId="11" fillId="9" borderId="5" xfId="0" applyNumberFormat="1" applyFont="1" applyFill="1" applyBorder="1" applyAlignment="1" applyProtection="1">
      <alignment horizontal="center" vertical="center"/>
      <protection hidden="1"/>
    </xf>
    <xf numFmtId="0" fontId="10" fillId="14" borderId="12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164" fontId="11" fillId="14" borderId="1" xfId="0" applyNumberFormat="1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 vertical="center"/>
    </xf>
    <xf numFmtId="164" fontId="11" fillId="14" borderId="2" xfId="0" applyNumberFormat="1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 vertical="center"/>
    </xf>
    <xf numFmtId="164" fontId="2" fillId="14" borderId="2" xfId="0" applyNumberFormat="1" applyFont="1" applyFill="1" applyBorder="1"/>
    <xf numFmtId="164" fontId="2" fillId="6" borderId="17" xfId="0" applyNumberFormat="1" applyFont="1" applyFill="1" applyBorder="1"/>
    <xf numFmtId="0" fontId="1" fillId="6" borderId="7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11" fillId="2" borderId="2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3" fillId="4" borderId="1" xfId="0" applyFont="1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0" borderId="26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2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13" borderId="2" xfId="0" applyFill="1" applyBorder="1" applyAlignment="1">
      <alignment vertical="center"/>
    </xf>
    <xf numFmtId="0" fontId="0" fillId="13" borderId="19" xfId="0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0" fillId="0" borderId="0" xfId="0" applyBorder="1" applyAlignmen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/>
    <xf numFmtId="0" fontId="0" fillId="0" borderId="22" xfId="0" applyBorder="1" applyAlignment="1" applyProtection="1">
      <alignment horizontal="center"/>
      <protection locked="0"/>
    </xf>
    <xf numFmtId="0" fontId="0" fillId="0" borderId="26" xfId="0" applyBorder="1" applyAlignment="1" applyProtection="1">
      <protection locked="0"/>
    </xf>
    <xf numFmtId="168" fontId="0" fillId="11" borderId="2" xfId="0" applyNumberFormat="1" applyFill="1" applyBorder="1" applyProtection="1">
      <protection locked="0"/>
    </xf>
    <xf numFmtId="168" fontId="0" fillId="11" borderId="2" xfId="0" applyNumberFormat="1" applyFill="1" applyBorder="1" applyAlignment="1" applyProtection="1">
      <protection locked="0"/>
    </xf>
    <xf numFmtId="168" fontId="0" fillId="11" borderId="1" xfId="0" applyNumberFormat="1" applyFill="1" applyBorder="1"/>
    <xf numFmtId="168" fontId="0" fillId="10" borderId="2" xfId="0" applyNumberFormat="1" applyFill="1" applyBorder="1"/>
    <xf numFmtId="168" fontId="0" fillId="0" borderId="9" xfId="0" applyNumberFormat="1" applyBorder="1" applyAlignment="1" applyProtection="1">
      <alignment horizontal="center"/>
    </xf>
    <xf numFmtId="168" fontId="0" fillId="0" borderId="9" xfId="0" applyNumberFormat="1" applyBorder="1" applyAlignment="1" applyProtection="1">
      <alignment horizontal="center"/>
      <protection locked="0"/>
    </xf>
    <xf numFmtId="168" fontId="0" fillId="0" borderId="21" xfId="0" applyNumberFormat="1" applyBorder="1"/>
    <xf numFmtId="168" fontId="0" fillId="0" borderId="24" xfId="0" applyNumberFormat="1" applyBorder="1"/>
    <xf numFmtId="0" fontId="1" fillId="3" borderId="2" xfId="0" applyFont="1" applyFill="1" applyBorder="1" applyAlignment="1" applyProtection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/>
    </xf>
    <xf numFmtId="0" fontId="1" fillId="14" borderId="2" xfId="0" applyFont="1" applyFill="1" applyBorder="1" applyAlignment="1" applyProtection="1">
      <alignment horizontal="center" vertical="center"/>
    </xf>
    <xf numFmtId="0" fontId="12" fillId="6" borderId="2" xfId="0" applyFont="1" applyFill="1" applyBorder="1" applyAlignment="1" applyProtection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4" borderId="12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4" borderId="2" xfId="0" applyFont="1" applyFill="1" applyBorder="1" applyAlignment="1" applyProtection="1">
      <alignment horizontal="center" vertical="center" wrapText="1"/>
    </xf>
    <xf numFmtId="0" fontId="3" fillId="4" borderId="2" xfId="0" applyFont="1" applyFill="1" applyBorder="1" applyAlignment="1" applyProtection="1">
      <alignment horizontal="center"/>
    </xf>
    <xf numFmtId="0" fontId="10" fillId="3" borderId="2" xfId="0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center"/>
    </xf>
    <xf numFmtId="0" fontId="10" fillId="12" borderId="2" xfId="0" applyFont="1" applyFill="1" applyBorder="1" applyAlignment="1" applyProtection="1">
      <alignment horizontal="center" vertical="center"/>
    </xf>
    <xf numFmtId="0" fontId="10" fillId="6" borderId="2" xfId="0" applyFont="1" applyFill="1" applyBorder="1" applyAlignment="1" applyProtection="1">
      <alignment horizontal="center" vertical="center"/>
    </xf>
    <xf numFmtId="0" fontId="10" fillId="14" borderId="2" xfId="0" applyFont="1" applyFill="1" applyBorder="1" applyAlignment="1" applyProtection="1">
      <alignment horizontal="center" vertical="center"/>
    </xf>
    <xf numFmtId="0" fontId="19" fillId="15" borderId="2" xfId="0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10" fillId="16" borderId="2" xfId="0" applyFont="1" applyFill="1" applyBorder="1" applyAlignment="1" applyProtection="1">
      <alignment horizontal="center" vertical="center"/>
    </xf>
    <xf numFmtId="0" fontId="10" fillId="11" borderId="2" xfId="0" applyFont="1" applyFill="1" applyBorder="1" applyAlignment="1" applyProtection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6" borderId="2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Alignment="1" applyProtection="1">
      <alignment horizontal="right"/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5" fontId="8" fillId="0" borderId="2" xfId="0" applyNumberFormat="1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2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5" fillId="4" borderId="16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>
      <alignment horizontal="center"/>
    </xf>
    <xf numFmtId="0" fontId="5" fillId="4" borderId="2" xfId="0" applyFont="1" applyFill="1" applyBorder="1" applyAlignment="1" applyProtection="1">
      <alignment horizontal="center" vertical="center" wrapText="1"/>
    </xf>
    <xf numFmtId="0" fontId="0" fillId="2" borderId="2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3" fillId="0" borderId="0" xfId="0" applyFont="1" applyBorder="1" applyAlignment="1">
      <alignment vertical="center"/>
    </xf>
    <xf numFmtId="9" fontId="11" fillId="3" borderId="2" xfId="0" applyNumberFormat="1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 vertical="center"/>
    </xf>
    <xf numFmtId="0" fontId="5" fillId="4" borderId="37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center" vertical="center"/>
      <protection locked="0"/>
    </xf>
    <xf numFmtId="0" fontId="5" fillId="4" borderId="39" xfId="0" applyFont="1" applyFill="1" applyBorder="1" applyAlignment="1" applyProtection="1">
      <alignment horizontal="center" vertical="center"/>
      <protection locked="0"/>
    </xf>
    <xf numFmtId="165" fontId="8" fillId="0" borderId="17" xfId="0" applyNumberFormat="1" applyFont="1" applyBorder="1" applyAlignment="1">
      <alignment horizontal="center"/>
    </xf>
    <xf numFmtId="0" fontId="10" fillId="11" borderId="3" xfId="0" applyFont="1" applyFill="1" applyBorder="1" applyAlignment="1">
      <alignment horizontal="center" vertical="center"/>
    </xf>
    <xf numFmtId="9" fontId="11" fillId="3" borderId="5" xfId="0" applyNumberFormat="1" applyFont="1" applyFill="1" applyBorder="1" applyAlignment="1">
      <alignment horizontal="center"/>
    </xf>
    <xf numFmtId="164" fontId="11" fillId="3" borderId="5" xfId="0" applyNumberFormat="1" applyFont="1" applyFill="1" applyBorder="1" applyAlignment="1">
      <alignment horizontal="center"/>
    </xf>
    <xf numFmtId="0" fontId="11" fillId="2" borderId="5" xfId="0" applyFont="1" applyFill="1" applyBorder="1" applyAlignment="1" applyProtection="1">
      <alignment horizontal="center"/>
      <protection locked="0"/>
    </xf>
    <xf numFmtId="166" fontId="8" fillId="0" borderId="40" xfId="0" applyNumberFormat="1" applyFont="1" applyBorder="1" applyAlignment="1">
      <alignment horizontal="center"/>
    </xf>
    <xf numFmtId="165" fontId="8" fillId="0" borderId="41" xfId="0" applyNumberFormat="1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9" fillId="5" borderId="42" xfId="0" applyNumberFormat="1" applyFont="1" applyFill="1" applyBorder="1" applyAlignment="1">
      <alignment horizontal="center"/>
    </xf>
    <xf numFmtId="0" fontId="8" fillId="6" borderId="43" xfId="0" applyFont="1" applyFill="1" applyBorder="1" applyAlignment="1">
      <alignment horizontal="center"/>
    </xf>
    <xf numFmtId="0" fontId="0" fillId="6" borderId="44" xfId="0" applyFont="1" applyFill="1" applyBorder="1" applyAlignment="1">
      <alignment horizontal="center"/>
    </xf>
    <xf numFmtId="0" fontId="4" fillId="0" borderId="35" xfId="0" applyFont="1" applyBorder="1" applyAlignment="1">
      <alignment horizontal="center" vertical="center"/>
    </xf>
    <xf numFmtId="0" fontId="11" fillId="2" borderId="36" xfId="0" applyFont="1" applyFill="1" applyBorder="1" applyAlignment="1" applyProtection="1">
      <alignment horizontal="center"/>
      <protection locked="0"/>
    </xf>
    <xf numFmtId="0" fontId="18" fillId="0" borderId="3" xfId="0" applyFont="1" applyBorder="1" applyAlignment="1">
      <alignment horizontal="center" vertical="center"/>
    </xf>
    <xf numFmtId="0" fontId="11" fillId="2" borderId="17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66" fontId="11" fillId="2" borderId="17" xfId="0" applyNumberFormat="1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/>
      <protection locked="0"/>
    </xf>
    <xf numFmtId="166" fontId="11" fillId="2" borderId="17" xfId="0" applyNumberFormat="1" applyFont="1" applyFill="1" applyBorder="1" applyAlignment="1" applyProtection="1">
      <alignment horizontal="center"/>
      <protection locked="0"/>
    </xf>
    <xf numFmtId="9" fontId="11" fillId="2" borderId="41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Border="1" applyAlignment="1">
      <alignment horizontal="center"/>
    </xf>
    <xf numFmtId="167" fontId="14" fillId="0" borderId="36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167" fontId="14" fillId="0" borderId="13" xfId="0" applyNumberFormat="1" applyFont="1" applyBorder="1" applyAlignment="1">
      <alignment horizontal="center"/>
    </xf>
    <xf numFmtId="167" fontId="15" fillId="8" borderId="17" xfId="0" applyNumberFormat="1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44" fontId="14" fillId="0" borderId="41" xfId="0" applyNumberFormat="1" applyFont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8" fontId="0" fillId="0" borderId="2" xfId="0" applyNumberFormat="1" applyBorder="1" applyAlignment="1">
      <alignment horizontal="center"/>
    </xf>
    <xf numFmtId="168" fontId="0" fillId="11" borderId="2" xfId="0" applyNumberFormat="1" applyFill="1" applyBorder="1" applyProtection="1"/>
  </cellXfs>
  <cellStyles count="1">
    <cellStyle name="Normalny" xfId="0" builtinId="0"/>
  </cellStyles>
  <dxfs count="7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#,##0.00\ [$PLN];\-#,##0.00\ [$PLN]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.00\ [$€-1]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numFmt numFmtId="164" formatCode="_-[$€-2]\ * #,##0.00_-;\-[$€-2]\ * #,##0.00_-;_-[$€-2]\ 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numFmt numFmtId="164" formatCode="_-[$€-2]\ * #,##0.00_-;\-[$€-2]\ * #,##0.00_-;_-[$€-2]\ * &quot;-&quot;??_-;_-@_-"/>
      <fill>
        <patternFill patternType="solid">
          <fgColor indexed="26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numFmt numFmtId="164" formatCode="_-[$€-2]\ * #,##0.00_-;\-[$€-2]\ * #,##0.00_-;_-[$€-2]\ * &quot;-&quot;??_-;_-@_-"/>
      <fill>
        <patternFill patternType="solid">
          <fgColor indexed="26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Verdana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#,##0.00\ &quot;zł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Verdana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medium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68" formatCode="#,##0.00\ &quot;zł&quot;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68" formatCode="#,##0.00\ &quot;zł&quot;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68" formatCode="#,##0.00\ &quot;zł&quot;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68" formatCode="#,##0.00\ &quot;zł&quot;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5</xdr:col>
      <xdr:colOff>723900</xdr:colOff>
      <xdr:row>2</xdr:row>
      <xdr:rowOff>161925</xdr:rowOff>
    </xdr:to>
    <xdr:sp macro="[0]!UkryjPuste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358D5E5C-568C-411A-AF5C-D3D5CEFC0E17}"/>
            </a:ext>
          </a:extLst>
        </xdr:cNvPr>
        <xdr:cNvSpPr/>
      </xdr:nvSpPr>
      <xdr:spPr>
        <a:xfrm>
          <a:off x="4124325" y="219075"/>
          <a:ext cx="20002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UKRYJ</a:t>
          </a:r>
          <a:r>
            <a:rPr lang="pl-PL" sz="1400" b="1" baseline="0"/>
            <a:t> PUSTE</a:t>
          </a:r>
          <a:endParaRPr lang="pl-PL" sz="1400" b="1"/>
        </a:p>
      </xdr:txBody>
    </xdr:sp>
    <xdr:clientData fPrintsWithSheet="0"/>
  </xdr:twoCellAnchor>
  <xdr:twoCellAnchor>
    <xdr:from>
      <xdr:col>6</xdr:col>
      <xdr:colOff>85724</xdr:colOff>
      <xdr:row>1</xdr:row>
      <xdr:rowOff>28575</xdr:rowOff>
    </xdr:from>
    <xdr:to>
      <xdr:col>7</xdr:col>
      <xdr:colOff>761999</xdr:colOff>
      <xdr:row>2</xdr:row>
      <xdr:rowOff>161925</xdr:rowOff>
    </xdr:to>
    <xdr:sp macro="[0]!PokazWszystkie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F8D21C25-9EAE-4BFC-90A6-BC505BD3468B}"/>
            </a:ext>
          </a:extLst>
        </xdr:cNvPr>
        <xdr:cNvSpPr/>
      </xdr:nvSpPr>
      <xdr:spPr>
        <a:xfrm>
          <a:off x="6238874" y="219075"/>
          <a:ext cx="20097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POKAŻ WSZYSTKIE</a:t>
          </a:r>
        </a:p>
        <a:p>
          <a:pPr algn="l"/>
          <a:endParaRPr lang="pl-PL" sz="1400" b="1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180975</xdr:colOff>
      <xdr:row>1</xdr:row>
      <xdr:rowOff>104775</xdr:rowOff>
    </xdr:from>
    <xdr:to>
      <xdr:col>9</xdr:col>
      <xdr:colOff>495300</xdr:colOff>
      <xdr:row>2</xdr:row>
      <xdr:rowOff>180975</xdr:rowOff>
    </xdr:to>
    <xdr:sp macro="[0]!Arkusz2.DodajWierszBlaty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8B6441A5-E348-480C-B5F6-B2BB026A2163}"/>
            </a:ext>
          </a:extLst>
        </xdr:cNvPr>
        <xdr:cNvSpPr/>
      </xdr:nvSpPr>
      <xdr:spPr>
        <a:xfrm>
          <a:off x="7277100" y="295275"/>
          <a:ext cx="1533525" cy="2667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Wstaw wiersz</a:t>
          </a:r>
        </a:p>
      </xdr:txBody>
    </xdr:sp>
    <xdr:clientData/>
  </xdr:twoCellAnchor>
  <xdr:twoCellAnchor editAs="absolute">
    <xdr:from>
      <xdr:col>7</xdr:col>
      <xdr:colOff>180975</xdr:colOff>
      <xdr:row>3</xdr:row>
      <xdr:rowOff>104775</xdr:rowOff>
    </xdr:from>
    <xdr:to>
      <xdr:col>9</xdr:col>
      <xdr:colOff>495300</xdr:colOff>
      <xdr:row>4</xdr:row>
      <xdr:rowOff>180975</xdr:rowOff>
    </xdr:to>
    <xdr:sp macro="[0]!Arkusz2.UsunWierszBlaty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03BD8C4D-937A-4C60-A667-87665D839ECC}"/>
            </a:ext>
          </a:extLst>
        </xdr:cNvPr>
        <xdr:cNvSpPr/>
      </xdr:nvSpPr>
      <xdr:spPr>
        <a:xfrm>
          <a:off x="7277100" y="676275"/>
          <a:ext cx="1533525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Usuń wiersz</a:t>
          </a:r>
        </a:p>
      </xdr:txBody>
    </xdr:sp>
    <xdr:clientData/>
  </xdr:twoCellAnchor>
  <xdr:twoCellAnchor editAs="absolute">
    <xdr:from>
      <xdr:col>7</xdr:col>
      <xdr:colOff>190500</xdr:colOff>
      <xdr:row>6</xdr:row>
      <xdr:rowOff>171450</xdr:rowOff>
    </xdr:from>
    <xdr:to>
      <xdr:col>9</xdr:col>
      <xdr:colOff>504825</xdr:colOff>
      <xdr:row>8</xdr:row>
      <xdr:rowOff>57150</xdr:rowOff>
    </xdr:to>
    <xdr:sp macro="[0]!Arkusz2.DodajWierszElektryka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0CE8B453-51E0-4C98-A448-522168A9F233}"/>
            </a:ext>
          </a:extLst>
        </xdr:cNvPr>
        <xdr:cNvSpPr/>
      </xdr:nvSpPr>
      <xdr:spPr>
        <a:xfrm>
          <a:off x="7286625" y="1314450"/>
          <a:ext cx="1533525" cy="2667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Wstaw wiersz</a:t>
          </a:r>
        </a:p>
      </xdr:txBody>
    </xdr:sp>
    <xdr:clientData/>
  </xdr:twoCellAnchor>
  <xdr:twoCellAnchor editAs="absolute">
    <xdr:from>
      <xdr:col>7</xdr:col>
      <xdr:colOff>200025</xdr:colOff>
      <xdr:row>11</xdr:row>
      <xdr:rowOff>171450</xdr:rowOff>
    </xdr:from>
    <xdr:to>
      <xdr:col>9</xdr:col>
      <xdr:colOff>514350</xdr:colOff>
      <xdr:row>13</xdr:row>
      <xdr:rowOff>57150</xdr:rowOff>
    </xdr:to>
    <xdr:sp macro="[0]!Arkusz2.DodajWierszInne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7958B70E-52FC-481C-AB0D-B82D1E8AAE1F}"/>
            </a:ext>
          </a:extLst>
        </xdr:cNvPr>
        <xdr:cNvSpPr/>
      </xdr:nvSpPr>
      <xdr:spPr>
        <a:xfrm>
          <a:off x="7296150" y="2466975"/>
          <a:ext cx="1533525" cy="2667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Wstaw wiersz</a:t>
          </a:r>
        </a:p>
      </xdr:txBody>
    </xdr:sp>
    <xdr:clientData/>
  </xdr:twoCellAnchor>
  <xdr:twoCellAnchor editAs="absolute">
    <xdr:from>
      <xdr:col>7</xdr:col>
      <xdr:colOff>200025</xdr:colOff>
      <xdr:row>9</xdr:row>
      <xdr:rowOff>28575</xdr:rowOff>
    </xdr:from>
    <xdr:to>
      <xdr:col>9</xdr:col>
      <xdr:colOff>514350</xdr:colOff>
      <xdr:row>9</xdr:row>
      <xdr:rowOff>295275</xdr:rowOff>
    </xdr:to>
    <xdr:sp macro="[0]!Arkusz2.UsunWierszElektryka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73F0B14C-C73F-49D6-89C9-C59233B06EE4}"/>
            </a:ext>
          </a:extLst>
        </xdr:cNvPr>
        <xdr:cNvSpPr/>
      </xdr:nvSpPr>
      <xdr:spPr>
        <a:xfrm>
          <a:off x="7296150" y="1743075"/>
          <a:ext cx="1533525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Usuń wiersz</a:t>
          </a:r>
        </a:p>
      </xdr:txBody>
    </xdr:sp>
    <xdr:clientData/>
  </xdr:twoCellAnchor>
  <xdr:twoCellAnchor editAs="absolute">
    <xdr:from>
      <xdr:col>7</xdr:col>
      <xdr:colOff>209550</xdr:colOff>
      <xdr:row>13</xdr:row>
      <xdr:rowOff>152400</xdr:rowOff>
    </xdr:from>
    <xdr:to>
      <xdr:col>9</xdr:col>
      <xdr:colOff>523875</xdr:colOff>
      <xdr:row>15</xdr:row>
      <xdr:rowOff>38100</xdr:rowOff>
    </xdr:to>
    <xdr:sp macro="[0]!Arkusz2.UsunWierszInne" textlink="">
      <xdr:nvSpPr>
        <xdr:cNvPr id="9" name="Prostokąt: zaokrąglone rogi 8">
          <a:extLst>
            <a:ext uri="{FF2B5EF4-FFF2-40B4-BE49-F238E27FC236}">
              <a16:creationId xmlns:a16="http://schemas.microsoft.com/office/drawing/2014/main" id="{B6C17C35-00E4-4E56-BC8C-9332826B83E9}"/>
            </a:ext>
          </a:extLst>
        </xdr:cNvPr>
        <xdr:cNvSpPr/>
      </xdr:nvSpPr>
      <xdr:spPr>
        <a:xfrm>
          <a:off x="7305675" y="2828925"/>
          <a:ext cx="1533525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bg1"/>
              </a:solidFill>
            </a:rPr>
            <a:t>Usuń wiersz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6</xdr:row>
      <xdr:rowOff>0</xdr:rowOff>
    </xdr:from>
    <xdr:to>
      <xdr:col>13</xdr:col>
      <xdr:colOff>180975</xdr:colOff>
      <xdr:row>7</xdr:row>
      <xdr:rowOff>133350</xdr:rowOff>
    </xdr:to>
    <xdr:sp macro="[0]!Arkusz4.PokazWszystkieZestawienie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A48B5ADB-0B2A-4933-B936-748EED441622}"/>
            </a:ext>
          </a:extLst>
        </xdr:cNvPr>
        <xdr:cNvSpPr/>
      </xdr:nvSpPr>
      <xdr:spPr>
        <a:xfrm>
          <a:off x="5838825" y="1143000"/>
          <a:ext cx="20097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POKAŻ WSZYSTKIE</a:t>
          </a:r>
        </a:p>
        <a:p>
          <a:pPr algn="l"/>
          <a:endParaRPr lang="pl-PL" sz="1400" b="1"/>
        </a:p>
      </xdr:txBody>
    </xdr:sp>
    <xdr:clientData fPrintsWithSheet="0"/>
  </xdr:twoCellAnchor>
  <xdr:twoCellAnchor editAs="absolute">
    <xdr:from>
      <xdr:col>10</xdr:col>
      <xdr:colOff>0</xdr:colOff>
      <xdr:row>3</xdr:row>
      <xdr:rowOff>0</xdr:rowOff>
    </xdr:from>
    <xdr:to>
      <xdr:col>13</xdr:col>
      <xdr:colOff>171450</xdr:colOff>
      <xdr:row>4</xdr:row>
      <xdr:rowOff>133350</xdr:rowOff>
    </xdr:to>
    <xdr:sp macro="[0]!Arkusz4.UkryjPusteZestawienie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1866A58D-4465-4153-B1EE-9D93C3CE4697}"/>
            </a:ext>
          </a:extLst>
        </xdr:cNvPr>
        <xdr:cNvSpPr/>
      </xdr:nvSpPr>
      <xdr:spPr>
        <a:xfrm>
          <a:off x="5838825" y="571500"/>
          <a:ext cx="20002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UKRYJ</a:t>
          </a:r>
          <a:r>
            <a:rPr lang="pl-PL" sz="1400" b="1" baseline="0"/>
            <a:t> PUSTE</a:t>
          </a:r>
          <a:endParaRPr lang="pl-PL" sz="1400" b="1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6D0B71-8F94-45E0-89B1-E8824890B665}" name="Cennik" displayName="Cennik" ref="B7:I316" totalsRowShown="0" headerRowDxfId="73" headerRowBorderDxfId="72" tableBorderDxfId="71">
  <autoFilter ref="B7:I316" xr:uid="{C6162134-7C02-46DD-885C-6A28A452ED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797E2C-B141-4809-A6B1-A86376B031E0}" name="OPIS" dataDxfId="21"/>
    <tableColumn id="2" xr3:uid="{22284960-290E-44A4-A384-87AE17948D94}" name="SYMBOL" dataDxfId="20"/>
    <tableColumn id="3" xr3:uid="{DECE8008-E575-4D17-91F7-DE8E79B39E36}" name="CENA" dataDxfId="19"/>
    <tableColumn id="12" xr3:uid="{C1E4FE01-4865-4E43-BADB-1D2A3048A150}" name="RABAT" dataDxfId="18"/>
    <tableColumn id="4" xr3:uid="{DD843932-233A-47A2-82C0-2B6EB8241738}" name="PO RABACIE" dataDxfId="17">
      <calculatedColumnFormula>D8*(1-Cennik[[#This Row],[RABAT]])*(1-$C$324)</calculatedColumnFormula>
    </tableColumn>
    <tableColumn id="5" xr3:uid="{AD1FFEED-6505-41C7-83A3-FB982C2E20CA}" name="ILOŚĆ SZT." dataDxfId="16"/>
    <tableColumn id="6" xr3:uid="{CE945FFF-673A-4630-8336-68F5B23E2D1A}" name="CENA ŁĄCZNA" dataDxfId="15">
      <calculatedColumnFormula>G8*F8</calculatedColumnFormula>
    </tableColumn>
    <tableColumn id="7" xr3:uid="{EBD618E3-C38C-44E5-BF50-DB7565178371}" name="CENA ŁĄCZNA 2" dataDxfId="14">
      <calculatedColumnFormula>$C$323*F8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4E9337-D0EF-488D-9BD3-9316BB5EF5C5}" name="KomponentyBlaty" displayName="KomponentyBlaty" ref="B3:G4" totalsRowShown="0" headerRowDxfId="13" dataDxfId="12" headerRowBorderDxfId="10" tableBorderDxfId="11" totalsRowBorderDxfId="9">
  <autoFilter ref="B3:G4" xr:uid="{A5B3C1D2-525B-45C7-BB51-1E1254420F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F8C742A-A0E3-4A75-A487-80A4F6D06B4F}" name="Kolor" dataDxfId="8"/>
    <tableColumn id="2" xr3:uid="{B2FB9360-ED43-4553-BABB-14B449807E33}" name="Ilość sztuk" dataDxfId="7"/>
    <tableColumn id="3" xr3:uid="{C89A5242-1857-40E3-8E7C-40267A5153E6}" name="Szerokość" dataDxfId="6"/>
    <tableColumn id="4" xr3:uid="{EA6534C5-EC63-4557-8460-4F6D00D8A72B}" name="Głębokość" dataDxfId="5"/>
    <tableColumn id="5" xr3:uid="{16F38893-A93C-4706-8381-8858B92DA39B}" name="Grubość" dataDxfId="4"/>
    <tableColumn id="6" xr3:uid="{0FE3C7F9-C7E6-4648-BAFE-0D83B3A2698F}" name="CNC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25D74DC-519D-402A-A891-C9C8C3923263}" name="KomponentyInne" displayName="KomponentyInne" ref="B15:G16" totalsRowShown="0" headerRowDxfId="70" dataDxfId="68" headerRowBorderDxfId="69" tableBorderDxfId="67" totalsRowBorderDxfId="66">
  <autoFilter ref="B15:G16" xr:uid="{C06AC02C-3DA2-4CE8-B0A7-A5A73C2B86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DDB0E55-0FB4-4463-894E-4A4822B71F53}" name="Komponent" dataDxfId="65"/>
    <tableColumn id="2" xr3:uid="{216CB4B6-79F5-4343-84E2-5CBF0AFD2F4A}" name="Ilość sztuk" dataDxfId="64"/>
    <tableColumn id="3" xr3:uid="{8D58FA39-FF76-4E4A-8917-4862467404EA}" name="Cena" dataDxfId="63"/>
    <tableColumn id="4" xr3:uid="{DAD84C8A-BB8E-4747-BE4E-39E921393B30}" name="Wartość łączna" dataDxfId="62">
      <calculatedColumnFormula>KomponentyInne[[#This Row],[Ilość sztuk]]*KomponentyInne[[#This Row],[Cena]]</calculatedColumnFormula>
    </tableColumn>
    <tableColumn id="5" xr3:uid="{F86DDD9C-886A-42E8-944A-B73DC779BEF9}" name="Firma" dataDxfId="61"/>
    <tableColumn id="6" xr3:uid="{FBB155D2-142B-4630-B7A6-21C4C5A1892A}" name="Link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0D1C83-48FB-4FE9-9146-FFDBA39095DA}" name="KomponentyElektryka" displayName="KomponentyElektryka" ref="B10:G11" totalsRowShown="0" headerRowDxfId="59" dataDxfId="57" headerRowBorderDxfId="58" tableBorderDxfId="56">
  <autoFilter ref="B10:G11" xr:uid="{48C0BAAB-DAD6-4D42-B112-34821912800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AA58698-A8DC-4920-A927-29ABA16E20CA}" name="Komponent" dataDxfId="55"/>
    <tableColumn id="2" xr3:uid="{CAE96A07-9675-4FD5-9DC2-D6AB0587607F}" name="Ilość sztuk" dataDxfId="54"/>
    <tableColumn id="3" xr3:uid="{CABEEFD9-239C-4B25-96C5-73012359A99E}" name="Cena" dataDxfId="53">
      <calculatedColumnFormula>IFERROR(VLOOKUP('Komponenty pozasystemowe'!$B11,Elektryka[],2,FALSE),"")</calculatedColumnFormula>
    </tableColumn>
    <tableColumn id="4" xr3:uid="{7D2A3B65-5885-4CAB-A7F2-24AD649BE848}" name="Wartość łączna" dataDxfId="52">
      <calculatedColumnFormula>IFERROR(('Komponenty pozasystemowe'!$C11*'Komponenty pozasystemowe'!$D11),0)</calculatedColumnFormula>
    </tableColumn>
    <tableColumn id="5" xr3:uid="{82187CCE-592A-4A10-BB2D-D176CD3539FB}" name="Link" dataDxfId="51">
      <calculatedColumnFormula>IFERROR(VLOOKUP('Komponenty pozasystemowe'!$B11,Elektryka[],3,FALSE),"")</calculatedColumnFormula>
    </tableColumn>
    <tableColumn id="6" xr3:uid="{E6F4004D-3F26-4271-9E0C-B1255A3B102E}" name="Kolumna1" dataDxfId="5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7796C55-A4B8-4F68-879E-85040340297F}" name="Zestawienie" displayName="Zestawienie" ref="A4:B313" totalsRowShown="0" headerRowDxfId="49" dataDxfId="47" headerRowBorderDxfId="48" tableBorderDxfId="46">
  <autoFilter ref="A4:B313" xr:uid="{221B9434-B94D-4A4F-AA24-173DA2B1A399}">
    <filterColumn colId="0" hiddenButton="1"/>
    <filterColumn colId="1" hiddenButton="1"/>
  </autoFilter>
  <tableColumns count="2">
    <tableColumn id="2" xr3:uid="{8691FAC8-F57C-48F6-942A-53B8B1530535}" name="SYMBOL" dataDxfId="45"/>
    <tableColumn id="5" xr3:uid="{C42683CD-C61D-4672-BB2E-0CD31120E74E}" name="1 szt." dataDxfId="44">
      <calculatedColumnFormula>cennik!G8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45447E-528E-4417-B346-342406CE02E3}" name="Kolory" displayName="Kolory" ref="F3:F8" totalsRowShown="0" headerRowDxfId="43" dataDxfId="41" headerRowBorderDxfId="42" tableBorderDxfId="40" totalsRowBorderDxfId="39">
  <autoFilter ref="F3:F8" xr:uid="{5AD2711B-03BD-4A59-8925-4E309DF9EDA3}">
    <filterColumn colId="0" hiddenButton="1"/>
  </autoFilter>
  <tableColumns count="1">
    <tableColumn id="1" xr3:uid="{EA30B78D-7248-4D54-AA60-4A94DC86A154}" name="Kolor blatów" dataDxfId="3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4B1E3C-F5CA-4808-A37E-10FA94034933}" name="Grubość" displayName="Grubość" ref="G3:G26" totalsRowShown="0" headerRowDxfId="37" dataDxfId="35" headerRowBorderDxfId="36" tableBorderDxfId="34" totalsRowBorderDxfId="33">
  <autoFilter ref="G3:G26" xr:uid="{DC2B358C-819D-4928-BF87-D4297C47C47A}">
    <filterColumn colId="0" hiddenButton="1"/>
  </autoFilter>
  <tableColumns count="1">
    <tableColumn id="1" xr3:uid="{42B22E59-5B9D-45D2-B971-98322F919AC9}" name="Grubość" dataDxfId="3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9F495D3-46FF-43E6-9240-E6BB530746EC}" name="Elektryka" displayName="Elektryka" ref="B3:D21" totalsRowShown="0" headerRowDxfId="31" headerRowBorderDxfId="30" tableBorderDxfId="29" totalsRowBorderDxfId="28">
  <autoFilter ref="B3:D21" xr:uid="{E717B62C-6319-4C99-95D0-5E662C03AA8A}">
    <filterColumn colId="0" hiddenButton="1"/>
    <filterColumn colId="1" hiddenButton="1"/>
    <filterColumn colId="2" hiddenButton="1"/>
  </autoFilter>
  <tableColumns count="3">
    <tableColumn id="1" xr3:uid="{051505A9-BAAE-42B1-979C-8CFB0B56682C}" name="Komponent" dataDxfId="27"/>
    <tableColumn id="2" xr3:uid="{6CFAB014-14E3-4BEC-BD82-4EFAF5A46F48}" name="Cena" dataDxfId="26"/>
    <tableColumn id="3" xr3:uid="{B37D3E0D-6535-41BE-BE12-10E28F6F2529}" name="Link" dataDxfId="2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51D3FB-F7D8-4F82-90E7-59731E75ADB8}" name="Projektanci" displayName="Projektanci" ref="J2:J6" totalsRowShown="0" headerRowDxfId="2" dataDxfId="0" headerRowBorderDxfId="24" tableBorderDxfId="23" totalsRowBorderDxfId="22">
  <autoFilter ref="J2:J6" xr:uid="{15642F15-B94A-4B24-AA9C-B611F56DB55E}">
    <filterColumn colId="0" hiddenButton="1"/>
  </autoFilter>
  <tableColumns count="1">
    <tableColumn id="1" xr3:uid="{5F1DE482-7CED-47DE-8499-030579CBC4D2}" name="Projektant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4:Q325"/>
  <sheetViews>
    <sheetView tabSelected="1" topLeftCell="A289" zoomScaleNormal="100" workbookViewId="0">
      <selection activeCell="C319" sqref="C319"/>
    </sheetView>
  </sheetViews>
  <sheetFormatPr defaultColWidth="9.140625" defaultRowHeight="15" x14ac:dyDescent="0.25"/>
  <cols>
    <col min="1" max="1" width="2.7109375" style="8" customWidth="1"/>
    <col min="2" max="2" width="31.5703125" style="7" customWidth="1"/>
    <col min="3" max="3" width="21.42578125" style="7" customWidth="1"/>
    <col min="4" max="4" width="11.28515625" style="7" bestFit="1" customWidth="1"/>
    <col min="5" max="5" width="9" style="7" customWidth="1"/>
    <col min="6" max="6" width="13" style="7" customWidth="1"/>
    <col min="7" max="7" width="20" style="7" customWidth="1"/>
    <col min="8" max="8" width="18.140625" style="7" customWidth="1"/>
    <col min="9" max="9" width="16.7109375" style="7" customWidth="1"/>
    <col min="10" max="10" width="12.140625" style="7" customWidth="1"/>
    <col min="11" max="11" width="14.85546875" style="7" customWidth="1"/>
    <col min="12" max="12" width="14.42578125" style="7" customWidth="1"/>
    <col min="13" max="16384" width="9.140625" style="8"/>
  </cols>
  <sheetData>
    <row r="4" spans="2:13" ht="15.75" thickBot="1" x14ac:dyDescent="0.3"/>
    <row r="5" spans="2:13" ht="15" customHeight="1" x14ac:dyDescent="0.25">
      <c r="B5" s="150" t="s">
        <v>432</v>
      </c>
      <c r="C5" s="151"/>
      <c r="D5" s="151"/>
      <c r="E5" s="151"/>
      <c r="F5" s="151"/>
      <c r="G5" s="151"/>
      <c r="H5" s="151"/>
      <c r="I5" s="152"/>
    </row>
    <row r="6" spans="2:13" ht="15" customHeight="1" thickBot="1" x14ac:dyDescent="0.3">
      <c r="B6" s="163"/>
      <c r="C6" s="164"/>
      <c r="D6" s="164"/>
      <c r="E6" s="164"/>
      <c r="F6" s="164"/>
      <c r="G6" s="164"/>
      <c r="H6" s="164"/>
      <c r="I6" s="165"/>
    </row>
    <row r="7" spans="2:13" ht="15" customHeight="1" thickBot="1" x14ac:dyDescent="0.3">
      <c r="B7" s="124" t="s">
        <v>438</v>
      </c>
      <c r="C7" s="88" t="s">
        <v>439</v>
      </c>
      <c r="D7" s="125" t="s">
        <v>440</v>
      </c>
      <c r="E7" s="125" t="s">
        <v>376</v>
      </c>
      <c r="F7" s="125" t="s">
        <v>441</v>
      </c>
      <c r="G7" s="125" t="s">
        <v>442</v>
      </c>
      <c r="H7" s="162" t="s">
        <v>443</v>
      </c>
      <c r="I7" s="162" t="s">
        <v>444</v>
      </c>
      <c r="K7" s="180" t="s">
        <v>242</v>
      </c>
      <c r="L7" s="181" t="s">
        <v>421</v>
      </c>
      <c r="M7" s="7"/>
    </row>
    <row r="8" spans="2:13" ht="15" customHeight="1" x14ac:dyDescent="0.25">
      <c r="B8" s="5" t="s">
        <v>423</v>
      </c>
      <c r="C8" s="10" t="s">
        <v>261</v>
      </c>
      <c r="D8" s="11">
        <v>9.8000000000000007</v>
      </c>
      <c r="E8" s="161">
        <v>0</v>
      </c>
      <c r="F8" s="11">
        <f>D8*(1-Cennik[[#This Row],[RABAT]])*(1-$C$324)</f>
        <v>9.8000000000000007</v>
      </c>
      <c r="G8" s="85"/>
      <c r="H8" s="57">
        <f>G8*F8</f>
        <v>0</v>
      </c>
      <c r="I8" s="166">
        <f>$C$323*F8</f>
        <v>43.120000000000005</v>
      </c>
      <c r="K8" s="173">
        <v>2.508</v>
      </c>
      <c r="L8" s="174">
        <f t="shared" ref="L8:L39" si="0">G8*K8</f>
        <v>0</v>
      </c>
      <c r="M8" s="7"/>
    </row>
    <row r="9" spans="2:13" x14ac:dyDescent="0.25">
      <c r="B9" s="5" t="s">
        <v>423</v>
      </c>
      <c r="C9" s="10" t="s">
        <v>262</v>
      </c>
      <c r="D9" s="11">
        <v>15.3</v>
      </c>
      <c r="E9" s="161">
        <v>0</v>
      </c>
      <c r="F9" s="11">
        <f>D9*(1-Cennik[[#This Row],[RABAT]])*(1-$C$324)</f>
        <v>15.3</v>
      </c>
      <c r="G9" s="85"/>
      <c r="H9" s="57">
        <f t="shared" ref="H9:H72" si="1">G9*F9</f>
        <v>0</v>
      </c>
      <c r="I9" s="166">
        <f t="shared" ref="I9:I72" si="2">$C$323*F9</f>
        <v>67.320000000000007</v>
      </c>
      <c r="K9" s="175">
        <v>5.0599999999999996</v>
      </c>
      <c r="L9" s="176">
        <f t="shared" si="0"/>
        <v>0</v>
      </c>
      <c r="M9" s="7"/>
    </row>
    <row r="10" spans="2:13" x14ac:dyDescent="0.25">
      <c r="B10" s="61" t="s">
        <v>424</v>
      </c>
      <c r="C10" s="58" t="s">
        <v>263</v>
      </c>
      <c r="D10" s="11">
        <v>9.8000000000000007</v>
      </c>
      <c r="E10" s="161">
        <v>0</v>
      </c>
      <c r="F10" s="11">
        <f>D10*(1-Cennik[[#This Row],[RABAT]])*(1-$C$324)</f>
        <v>9.8000000000000007</v>
      </c>
      <c r="G10" s="85"/>
      <c r="H10" s="57">
        <f t="shared" si="1"/>
        <v>0</v>
      </c>
      <c r="I10" s="166">
        <f t="shared" si="2"/>
        <v>43.120000000000005</v>
      </c>
      <c r="K10" s="175">
        <v>2.508</v>
      </c>
      <c r="L10" s="176">
        <f t="shared" si="0"/>
        <v>0</v>
      </c>
      <c r="M10" s="7"/>
    </row>
    <row r="11" spans="2:13" x14ac:dyDescent="0.25">
      <c r="B11" s="61" t="s">
        <v>424</v>
      </c>
      <c r="C11" s="58" t="s">
        <v>264</v>
      </c>
      <c r="D11" s="11">
        <v>15.3</v>
      </c>
      <c r="E11" s="161">
        <v>0</v>
      </c>
      <c r="F11" s="11">
        <f>D11*(1-Cennik[[#This Row],[RABAT]])*(1-$C$324)</f>
        <v>15.3</v>
      </c>
      <c r="G11" s="85"/>
      <c r="H11" s="57">
        <f t="shared" si="1"/>
        <v>0</v>
      </c>
      <c r="I11" s="166">
        <f t="shared" si="2"/>
        <v>67.320000000000007</v>
      </c>
      <c r="K11" s="175">
        <v>5.0599999999999996</v>
      </c>
      <c r="L11" s="176">
        <f t="shared" si="0"/>
        <v>0</v>
      </c>
      <c r="M11" s="7"/>
    </row>
    <row r="12" spans="2:13" x14ac:dyDescent="0.25">
      <c r="B12" s="6" t="s">
        <v>425</v>
      </c>
      <c r="C12" s="13" t="s">
        <v>265</v>
      </c>
      <c r="D12" s="11">
        <v>9.8000000000000007</v>
      </c>
      <c r="E12" s="161">
        <v>0</v>
      </c>
      <c r="F12" s="11">
        <f>D12*(1-Cennik[[#This Row],[RABAT]])*(1-$C$324)</f>
        <v>9.8000000000000007</v>
      </c>
      <c r="G12" s="85"/>
      <c r="H12" s="57">
        <f t="shared" si="1"/>
        <v>0</v>
      </c>
      <c r="I12" s="166">
        <f t="shared" si="2"/>
        <v>43.120000000000005</v>
      </c>
      <c r="K12" s="175">
        <v>2.508</v>
      </c>
      <c r="L12" s="176">
        <f t="shared" si="0"/>
        <v>0</v>
      </c>
      <c r="M12" s="7"/>
    </row>
    <row r="13" spans="2:13" x14ac:dyDescent="0.25">
      <c r="B13" s="62" t="s">
        <v>426</v>
      </c>
      <c r="C13" s="59" t="s">
        <v>266</v>
      </c>
      <c r="D13" s="11">
        <v>9.8000000000000007</v>
      </c>
      <c r="E13" s="161">
        <v>0</v>
      </c>
      <c r="F13" s="11">
        <f>D13*(1-Cennik[[#This Row],[RABAT]])*(1-$C$324)</f>
        <v>9.8000000000000007</v>
      </c>
      <c r="G13" s="85"/>
      <c r="H13" s="57">
        <f t="shared" si="1"/>
        <v>0</v>
      </c>
      <c r="I13" s="166">
        <f t="shared" si="2"/>
        <v>43.120000000000005</v>
      </c>
      <c r="K13" s="175">
        <v>2.508</v>
      </c>
      <c r="L13" s="176">
        <f t="shared" si="0"/>
        <v>0</v>
      </c>
      <c r="M13" s="7"/>
    </row>
    <row r="14" spans="2:13" x14ac:dyDescent="0.25">
      <c r="B14" s="63" t="s">
        <v>427</v>
      </c>
      <c r="C14" s="64" t="s">
        <v>0</v>
      </c>
      <c r="D14" s="11">
        <v>12.49</v>
      </c>
      <c r="E14" s="161">
        <v>0</v>
      </c>
      <c r="F14" s="11">
        <f>D14*(1-Cennik[[#This Row],[RABAT]])*(1-$C$324)</f>
        <v>12.49</v>
      </c>
      <c r="G14" s="85"/>
      <c r="H14" s="57">
        <f t="shared" si="1"/>
        <v>0</v>
      </c>
      <c r="I14" s="166">
        <f t="shared" si="2"/>
        <v>54.956000000000003</v>
      </c>
      <c r="K14" s="175">
        <v>2.508</v>
      </c>
      <c r="L14" s="176">
        <f t="shared" si="0"/>
        <v>0</v>
      </c>
      <c r="M14" s="7"/>
    </row>
    <row r="15" spans="2:13" x14ac:dyDescent="0.25">
      <c r="B15" s="65" t="s">
        <v>427</v>
      </c>
      <c r="C15" s="66" t="s">
        <v>1</v>
      </c>
      <c r="D15" s="11">
        <v>18.5</v>
      </c>
      <c r="E15" s="161">
        <v>0</v>
      </c>
      <c r="F15" s="11">
        <f>D15*(1-Cennik[[#This Row],[RABAT]])*(1-$C$324)</f>
        <v>18.5</v>
      </c>
      <c r="G15" s="85"/>
      <c r="H15" s="57">
        <f t="shared" si="1"/>
        <v>0</v>
      </c>
      <c r="I15" s="166">
        <f t="shared" si="2"/>
        <v>81.400000000000006</v>
      </c>
      <c r="K15" s="175">
        <v>5.0599999999999996</v>
      </c>
      <c r="L15" s="176">
        <f t="shared" si="0"/>
        <v>0</v>
      </c>
      <c r="M15" s="7"/>
    </row>
    <row r="16" spans="2:13" x14ac:dyDescent="0.25">
      <c r="B16" s="9" t="s">
        <v>177</v>
      </c>
      <c r="C16" s="15" t="s">
        <v>2</v>
      </c>
      <c r="D16" s="11">
        <v>13.87</v>
      </c>
      <c r="E16" s="161">
        <v>0</v>
      </c>
      <c r="F16" s="11">
        <f>D16*(1-Cennik[[#This Row],[RABAT]])*(1-$C$324)</f>
        <v>13.87</v>
      </c>
      <c r="G16" s="85"/>
      <c r="H16" s="57">
        <f t="shared" si="1"/>
        <v>0</v>
      </c>
      <c r="I16" s="166">
        <f t="shared" si="2"/>
        <v>61.027999999999999</v>
      </c>
      <c r="K16" s="175">
        <v>3.0680000000000001</v>
      </c>
      <c r="L16" s="176">
        <f t="shared" si="0"/>
        <v>0</v>
      </c>
      <c r="M16" s="7"/>
    </row>
    <row r="17" spans="2:13" x14ac:dyDescent="0.25">
      <c r="B17" s="9" t="s">
        <v>177</v>
      </c>
      <c r="C17" s="15" t="s">
        <v>3</v>
      </c>
      <c r="D17" s="11">
        <v>22.94</v>
      </c>
      <c r="E17" s="161">
        <v>0</v>
      </c>
      <c r="F17" s="11">
        <f>D17*(1-Cennik[[#This Row],[RABAT]])*(1-$C$324)</f>
        <v>22.94</v>
      </c>
      <c r="G17" s="85"/>
      <c r="H17" s="57">
        <f t="shared" si="1"/>
        <v>0</v>
      </c>
      <c r="I17" s="166">
        <f t="shared" si="2"/>
        <v>100.93600000000001</v>
      </c>
      <c r="K17" s="175"/>
      <c r="L17" s="176">
        <f t="shared" si="0"/>
        <v>0</v>
      </c>
      <c r="M17" s="7"/>
    </row>
    <row r="18" spans="2:13" x14ac:dyDescent="0.25">
      <c r="B18" s="69" t="s">
        <v>178</v>
      </c>
      <c r="C18" s="60" t="s">
        <v>243</v>
      </c>
      <c r="D18" s="11">
        <v>12.49</v>
      </c>
      <c r="E18" s="161">
        <v>0</v>
      </c>
      <c r="F18" s="11">
        <f>D18*(1-Cennik[[#This Row],[RABAT]])*(1-$C$324)</f>
        <v>12.49</v>
      </c>
      <c r="G18" s="85"/>
      <c r="H18" s="57">
        <f t="shared" si="1"/>
        <v>0</v>
      </c>
      <c r="I18" s="166">
        <f t="shared" si="2"/>
        <v>54.956000000000003</v>
      </c>
      <c r="K18" s="175">
        <v>1.89</v>
      </c>
      <c r="L18" s="176">
        <f t="shared" si="0"/>
        <v>0</v>
      </c>
      <c r="M18" s="7"/>
    </row>
    <row r="19" spans="2:13" x14ac:dyDescent="0.25">
      <c r="B19" s="69" t="s">
        <v>178</v>
      </c>
      <c r="C19" s="60" t="s">
        <v>4</v>
      </c>
      <c r="D19" s="11">
        <v>19.09</v>
      </c>
      <c r="E19" s="161">
        <v>0</v>
      </c>
      <c r="F19" s="11">
        <f>D19*(1-Cennik[[#This Row],[RABAT]])*(1-$C$324)</f>
        <v>19.09</v>
      </c>
      <c r="G19" s="85"/>
      <c r="H19" s="57">
        <f t="shared" si="1"/>
        <v>0</v>
      </c>
      <c r="I19" s="166">
        <f t="shared" si="2"/>
        <v>83.996000000000009</v>
      </c>
      <c r="K19" s="175">
        <v>2.9359999999999999</v>
      </c>
      <c r="L19" s="176">
        <f t="shared" si="0"/>
        <v>0</v>
      </c>
      <c r="M19" s="7"/>
    </row>
    <row r="20" spans="2:13" x14ac:dyDescent="0.25">
      <c r="B20" s="9" t="s">
        <v>179</v>
      </c>
      <c r="C20" s="10" t="s">
        <v>5</v>
      </c>
      <c r="D20" s="11">
        <v>27.59</v>
      </c>
      <c r="E20" s="161">
        <v>0</v>
      </c>
      <c r="F20" s="11">
        <f>D20*(1-Cennik[[#This Row],[RABAT]])*(1-$C$324)</f>
        <v>27.59</v>
      </c>
      <c r="G20" s="85"/>
      <c r="H20" s="57">
        <f t="shared" si="1"/>
        <v>0</v>
      </c>
      <c r="I20" s="166">
        <f t="shared" si="2"/>
        <v>121.39600000000002</v>
      </c>
      <c r="K20" s="175">
        <v>4.992</v>
      </c>
      <c r="L20" s="176">
        <f t="shared" si="0"/>
        <v>0</v>
      </c>
      <c r="M20" s="7"/>
    </row>
    <row r="21" spans="2:13" x14ac:dyDescent="0.25">
      <c r="B21" s="67" t="s">
        <v>179</v>
      </c>
      <c r="C21" s="68" t="s">
        <v>6</v>
      </c>
      <c r="D21" s="11">
        <v>31.58</v>
      </c>
      <c r="E21" s="161">
        <v>0</v>
      </c>
      <c r="F21" s="11">
        <f>D21*(1-Cennik[[#This Row],[RABAT]])*(1-$C$324)</f>
        <v>31.58</v>
      </c>
      <c r="G21" s="85"/>
      <c r="H21" s="57">
        <f t="shared" si="1"/>
        <v>0</v>
      </c>
      <c r="I21" s="166">
        <f t="shared" si="2"/>
        <v>138.952</v>
      </c>
      <c r="K21" s="175">
        <v>4.992</v>
      </c>
      <c r="L21" s="176">
        <f t="shared" si="0"/>
        <v>0</v>
      </c>
      <c r="M21" s="7"/>
    </row>
    <row r="22" spans="2:13" x14ac:dyDescent="0.25">
      <c r="B22" s="9" t="s">
        <v>179</v>
      </c>
      <c r="C22" s="10" t="s">
        <v>7</v>
      </c>
      <c r="D22" s="11">
        <v>30.68</v>
      </c>
      <c r="E22" s="161">
        <v>0</v>
      </c>
      <c r="F22" s="11">
        <f>D22*(1-Cennik[[#This Row],[RABAT]])*(1-$C$324)</f>
        <v>30.68</v>
      </c>
      <c r="G22" s="85"/>
      <c r="H22" s="57">
        <f t="shared" si="1"/>
        <v>0</v>
      </c>
      <c r="I22" s="166">
        <f t="shared" si="2"/>
        <v>134.99200000000002</v>
      </c>
      <c r="K22" s="175">
        <v>4.992</v>
      </c>
      <c r="L22" s="176">
        <f t="shared" si="0"/>
        <v>0</v>
      </c>
      <c r="M22" s="7"/>
    </row>
    <row r="23" spans="2:13" x14ac:dyDescent="0.25">
      <c r="B23" s="9" t="s">
        <v>179</v>
      </c>
      <c r="C23" s="10" t="s">
        <v>8</v>
      </c>
      <c r="D23" s="11">
        <v>27.44</v>
      </c>
      <c r="E23" s="161">
        <v>0</v>
      </c>
      <c r="F23" s="11">
        <f>D23*(1-Cennik[[#This Row],[RABAT]])*(1-$C$324)</f>
        <v>27.44</v>
      </c>
      <c r="G23" s="85"/>
      <c r="H23" s="57">
        <f t="shared" si="1"/>
        <v>0</v>
      </c>
      <c r="I23" s="166">
        <f t="shared" si="2"/>
        <v>120.73600000000002</v>
      </c>
      <c r="K23" s="175">
        <v>4.992</v>
      </c>
      <c r="L23" s="176">
        <f t="shared" si="0"/>
        <v>0</v>
      </c>
      <c r="M23" s="7"/>
    </row>
    <row r="24" spans="2:13" x14ac:dyDescent="0.25">
      <c r="B24" s="9" t="s">
        <v>176</v>
      </c>
      <c r="C24" s="10" t="s">
        <v>9</v>
      </c>
      <c r="D24" s="11">
        <v>58.81</v>
      </c>
      <c r="E24" s="161">
        <v>0</v>
      </c>
      <c r="F24" s="11">
        <f>D24*(1-Cennik[[#This Row],[RABAT]])*(1-$C$324)</f>
        <v>58.81</v>
      </c>
      <c r="G24" s="85"/>
      <c r="H24" s="57">
        <f t="shared" si="1"/>
        <v>0</v>
      </c>
      <c r="I24" s="166">
        <f t="shared" si="2"/>
        <v>258.76400000000001</v>
      </c>
      <c r="K24" s="175"/>
      <c r="L24" s="176">
        <f t="shared" si="0"/>
        <v>0</v>
      </c>
      <c r="M24" s="7"/>
    </row>
    <row r="25" spans="2:13" x14ac:dyDescent="0.25">
      <c r="B25" s="9" t="s">
        <v>176</v>
      </c>
      <c r="C25" s="10" t="s">
        <v>10</v>
      </c>
      <c r="D25" s="11">
        <v>91.48</v>
      </c>
      <c r="E25" s="161">
        <v>0</v>
      </c>
      <c r="F25" s="11">
        <f>D25*(1-Cennik[[#This Row],[RABAT]])*(1-$C$324)</f>
        <v>91.48</v>
      </c>
      <c r="G25" s="85"/>
      <c r="H25" s="57">
        <f t="shared" si="1"/>
        <v>0</v>
      </c>
      <c r="I25" s="166">
        <f t="shared" si="2"/>
        <v>402.51200000000006</v>
      </c>
      <c r="K25" s="175"/>
      <c r="L25" s="176">
        <f t="shared" si="0"/>
        <v>0</v>
      </c>
      <c r="M25" s="7"/>
    </row>
    <row r="26" spans="2:13" x14ac:dyDescent="0.25">
      <c r="B26" s="9" t="s">
        <v>176</v>
      </c>
      <c r="C26" s="10" t="s">
        <v>11</v>
      </c>
      <c r="D26" s="11">
        <v>60.7</v>
      </c>
      <c r="E26" s="161">
        <v>0</v>
      </c>
      <c r="F26" s="11">
        <f>D26*(1-Cennik[[#This Row],[RABAT]])*(1-$C$324)</f>
        <v>60.7</v>
      </c>
      <c r="G26" s="85"/>
      <c r="H26" s="57">
        <f t="shared" si="1"/>
        <v>0</v>
      </c>
      <c r="I26" s="166">
        <f t="shared" si="2"/>
        <v>267.08000000000004</v>
      </c>
      <c r="K26" s="175"/>
      <c r="L26" s="176">
        <f t="shared" si="0"/>
        <v>0</v>
      </c>
      <c r="M26" s="7"/>
    </row>
    <row r="27" spans="2:13" x14ac:dyDescent="0.25">
      <c r="B27" s="9" t="s">
        <v>180</v>
      </c>
      <c r="C27" s="10" t="s">
        <v>12</v>
      </c>
      <c r="D27" s="11">
        <v>8.6</v>
      </c>
      <c r="E27" s="161">
        <v>0</v>
      </c>
      <c r="F27" s="11">
        <f>D27*(1-Cennik[[#This Row],[RABAT]])*(1-$C$324)</f>
        <v>8.6</v>
      </c>
      <c r="G27" s="85"/>
      <c r="H27" s="57">
        <f t="shared" si="1"/>
        <v>0</v>
      </c>
      <c r="I27" s="166">
        <f t="shared" si="2"/>
        <v>37.840000000000003</v>
      </c>
      <c r="K27" s="175"/>
      <c r="L27" s="176">
        <f t="shared" si="0"/>
        <v>0</v>
      </c>
      <c r="M27" s="7"/>
    </row>
    <row r="28" spans="2:13" x14ac:dyDescent="0.25">
      <c r="B28" s="9" t="s">
        <v>181</v>
      </c>
      <c r="C28" s="10" t="s">
        <v>13</v>
      </c>
      <c r="D28" s="11">
        <v>0.36</v>
      </c>
      <c r="E28" s="161">
        <v>0</v>
      </c>
      <c r="F28" s="11">
        <f>D28*(1-Cennik[[#This Row],[RABAT]])*(1-$C$324)</f>
        <v>0.36</v>
      </c>
      <c r="G28" s="85"/>
      <c r="H28" s="57">
        <f t="shared" si="1"/>
        <v>0</v>
      </c>
      <c r="I28" s="166">
        <f t="shared" si="2"/>
        <v>1.5840000000000001</v>
      </c>
      <c r="K28" s="175">
        <v>7.1999999999999995E-2</v>
      </c>
      <c r="L28" s="176">
        <f t="shared" si="0"/>
        <v>0</v>
      </c>
      <c r="M28" s="7"/>
    </row>
    <row r="29" spans="2:13" x14ac:dyDescent="0.25">
      <c r="B29" s="9" t="s">
        <v>181</v>
      </c>
      <c r="C29" s="10" t="s">
        <v>14</v>
      </c>
      <c r="D29" s="11">
        <v>0.44</v>
      </c>
      <c r="E29" s="161">
        <v>0</v>
      </c>
      <c r="F29" s="11">
        <f>D29*(1-Cennik[[#This Row],[RABAT]])*(1-$C$324)</f>
        <v>0.44</v>
      </c>
      <c r="G29" s="85"/>
      <c r="H29" s="57">
        <f t="shared" si="1"/>
        <v>0</v>
      </c>
      <c r="I29" s="166">
        <f t="shared" si="2"/>
        <v>1.9360000000000002</v>
      </c>
      <c r="K29" s="175">
        <v>7.1999999999999995E-2</v>
      </c>
      <c r="L29" s="176">
        <f t="shared" si="0"/>
        <v>0</v>
      </c>
      <c r="M29" s="7"/>
    </row>
    <row r="30" spans="2:13" x14ac:dyDescent="0.25">
      <c r="B30" s="9" t="s">
        <v>181</v>
      </c>
      <c r="C30" s="10" t="s">
        <v>15</v>
      </c>
      <c r="D30" s="11">
        <v>0.49</v>
      </c>
      <c r="E30" s="161">
        <v>0</v>
      </c>
      <c r="F30" s="11">
        <f>D30*(1-Cennik[[#This Row],[RABAT]])*(1-$C$324)</f>
        <v>0.49</v>
      </c>
      <c r="G30" s="85"/>
      <c r="H30" s="57">
        <f t="shared" si="1"/>
        <v>0</v>
      </c>
      <c r="I30" s="166">
        <f t="shared" si="2"/>
        <v>2.1560000000000001</v>
      </c>
      <c r="K30" s="175">
        <v>9.6000000000000002E-2</v>
      </c>
      <c r="L30" s="176">
        <f t="shared" si="0"/>
        <v>0</v>
      </c>
      <c r="M30" s="7"/>
    </row>
    <row r="31" spans="2:13" x14ac:dyDescent="0.25">
      <c r="B31" s="9" t="s">
        <v>181</v>
      </c>
      <c r="C31" s="10" t="s">
        <v>16</v>
      </c>
      <c r="D31" s="11">
        <v>0.6</v>
      </c>
      <c r="E31" s="161">
        <v>0</v>
      </c>
      <c r="F31" s="11">
        <f>D31*(1-Cennik[[#This Row],[RABAT]])*(1-$C$324)</f>
        <v>0.6</v>
      </c>
      <c r="G31" s="85"/>
      <c r="H31" s="57">
        <f t="shared" si="1"/>
        <v>0</v>
      </c>
      <c r="I31" s="166">
        <f t="shared" si="2"/>
        <v>2.64</v>
      </c>
      <c r="K31" s="175">
        <v>0.122</v>
      </c>
      <c r="L31" s="176">
        <f t="shared" si="0"/>
        <v>0</v>
      </c>
      <c r="M31" s="7"/>
    </row>
    <row r="32" spans="2:13" x14ac:dyDescent="0.25">
      <c r="B32" s="9" t="s">
        <v>181</v>
      </c>
      <c r="C32" s="10" t="s">
        <v>17</v>
      </c>
      <c r="D32" s="11">
        <v>0.51</v>
      </c>
      <c r="E32" s="161">
        <v>0</v>
      </c>
      <c r="F32" s="11">
        <f>D32*(1-Cennik[[#This Row],[RABAT]])*(1-$C$324)</f>
        <v>0.51</v>
      </c>
      <c r="G32" s="85"/>
      <c r="H32" s="57">
        <f t="shared" si="1"/>
        <v>0</v>
      </c>
      <c r="I32" s="166">
        <f t="shared" si="2"/>
        <v>2.2440000000000002</v>
      </c>
      <c r="K32" s="175">
        <v>0.122</v>
      </c>
      <c r="L32" s="176">
        <f t="shared" si="0"/>
        <v>0</v>
      </c>
      <c r="M32" s="7"/>
    </row>
    <row r="33" spans="2:13" x14ac:dyDescent="0.25">
      <c r="B33" s="9" t="s">
        <v>181</v>
      </c>
      <c r="C33" s="10" t="s">
        <v>18</v>
      </c>
      <c r="D33" s="11">
        <v>0.36</v>
      </c>
      <c r="E33" s="161">
        <v>0</v>
      </c>
      <c r="F33" s="11">
        <f>D33*(1-Cennik[[#This Row],[RABAT]])*(1-$C$324)</f>
        <v>0.36</v>
      </c>
      <c r="G33" s="85"/>
      <c r="H33" s="57">
        <f t="shared" si="1"/>
        <v>0</v>
      </c>
      <c r="I33" s="166">
        <f t="shared" si="2"/>
        <v>1.5840000000000001</v>
      </c>
      <c r="K33" s="175">
        <v>4.3999999999999997E-2</v>
      </c>
      <c r="L33" s="176">
        <f t="shared" si="0"/>
        <v>0</v>
      </c>
      <c r="M33" s="7"/>
    </row>
    <row r="34" spans="2:13" x14ac:dyDescent="0.25">
      <c r="B34" s="9" t="s">
        <v>181</v>
      </c>
      <c r="C34" s="10" t="s">
        <v>19</v>
      </c>
      <c r="D34" s="11">
        <v>0.38</v>
      </c>
      <c r="E34" s="161">
        <v>0</v>
      </c>
      <c r="F34" s="11">
        <f>D34*(1-Cennik[[#This Row],[RABAT]])*(1-$C$324)</f>
        <v>0.38</v>
      </c>
      <c r="G34" s="85"/>
      <c r="H34" s="57">
        <f t="shared" si="1"/>
        <v>0</v>
      </c>
      <c r="I34" s="166">
        <f t="shared" si="2"/>
        <v>1.6720000000000002</v>
      </c>
      <c r="K34" s="175">
        <v>5.3999999999999999E-2</v>
      </c>
      <c r="L34" s="176">
        <f t="shared" si="0"/>
        <v>0</v>
      </c>
      <c r="M34" s="7"/>
    </row>
    <row r="35" spans="2:13" x14ac:dyDescent="0.25">
      <c r="B35" s="9" t="s">
        <v>181</v>
      </c>
      <c r="C35" s="10" t="s">
        <v>20</v>
      </c>
      <c r="D35" s="11">
        <v>0.49</v>
      </c>
      <c r="E35" s="161">
        <v>0</v>
      </c>
      <c r="F35" s="11">
        <f>D35*(1-Cennik[[#This Row],[RABAT]])*(1-$C$324)</f>
        <v>0.49</v>
      </c>
      <c r="G35" s="85"/>
      <c r="H35" s="57">
        <f t="shared" si="1"/>
        <v>0</v>
      </c>
      <c r="I35" s="166">
        <f t="shared" si="2"/>
        <v>2.1560000000000001</v>
      </c>
      <c r="K35" s="175">
        <v>5.1999999999999998E-2</v>
      </c>
      <c r="L35" s="176">
        <f t="shared" si="0"/>
        <v>0</v>
      </c>
      <c r="M35" s="7"/>
    </row>
    <row r="36" spans="2:13" x14ac:dyDescent="0.25">
      <c r="B36" s="9" t="s">
        <v>181</v>
      </c>
      <c r="C36" s="10" t="s">
        <v>21</v>
      </c>
      <c r="D36" s="11">
        <v>0.45</v>
      </c>
      <c r="E36" s="161">
        <v>0</v>
      </c>
      <c r="F36" s="11">
        <f>D36*(1-Cennik[[#This Row],[RABAT]])*(1-$C$324)</f>
        <v>0.45</v>
      </c>
      <c r="G36" s="85"/>
      <c r="H36" s="57">
        <f t="shared" si="1"/>
        <v>0</v>
      </c>
      <c r="I36" s="166">
        <f t="shared" si="2"/>
        <v>1.9800000000000002</v>
      </c>
      <c r="K36" s="175">
        <v>5.1999999999999998E-2</v>
      </c>
      <c r="L36" s="176">
        <f t="shared" si="0"/>
        <v>0</v>
      </c>
      <c r="M36" s="7"/>
    </row>
    <row r="37" spans="2:13" x14ac:dyDescent="0.25">
      <c r="B37" s="9" t="s">
        <v>181</v>
      </c>
      <c r="C37" s="10" t="s">
        <v>22</v>
      </c>
      <c r="D37" s="11">
        <v>0.64</v>
      </c>
      <c r="E37" s="161">
        <v>0</v>
      </c>
      <c r="F37" s="11">
        <f>D37*(1-Cennik[[#This Row],[RABAT]])*(1-$C$324)</f>
        <v>0.64</v>
      </c>
      <c r="G37" s="85"/>
      <c r="H37" s="57">
        <f t="shared" si="1"/>
        <v>0</v>
      </c>
      <c r="I37" s="166">
        <f t="shared" si="2"/>
        <v>2.8160000000000003</v>
      </c>
      <c r="K37" s="175">
        <v>0.04</v>
      </c>
      <c r="L37" s="176">
        <f t="shared" si="0"/>
        <v>0</v>
      </c>
      <c r="M37" s="7"/>
    </row>
    <row r="38" spans="2:13" x14ac:dyDescent="0.25">
      <c r="B38" s="9" t="s">
        <v>181</v>
      </c>
      <c r="C38" s="10" t="s">
        <v>23</v>
      </c>
      <c r="D38" s="11">
        <v>0.42</v>
      </c>
      <c r="E38" s="161">
        <v>0</v>
      </c>
      <c r="F38" s="11">
        <f>D38*(1-Cennik[[#This Row],[RABAT]])*(1-$C$324)</f>
        <v>0.42</v>
      </c>
      <c r="G38" s="85"/>
      <c r="H38" s="57">
        <f t="shared" si="1"/>
        <v>0</v>
      </c>
      <c r="I38" s="166">
        <f t="shared" si="2"/>
        <v>1.8480000000000001</v>
      </c>
      <c r="K38" s="175">
        <v>4.8000000000000001E-2</v>
      </c>
      <c r="L38" s="176">
        <f t="shared" si="0"/>
        <v>0</v>
      </c>
      <c r="M38" s="7"/>
    </row>
    <row r="39" spans="2:13" x14ac:dyDescent="0.25">
      <c r="B39" s="9" t="s">
        <v>181</v>
      </c>
      <c r="C39" s="10" t="s">
        <v>24</v>
      </c>
      <c r="D39" s="11">
        <v>1.1100000000000001</v>
      </c>
      <c r="E39" s="161">
        <v>0</v>
      </c>
      <c r="F39" s="11">
        <f>D39*(1-Cennik[[#This Row],[RABAT]])*(1-$C$324)</f>
        <v>1.1100000000000001</v>
      </c>
      <c r="G39" s="85"/>
      <c r="H39" s="57">
        <f t="shared" si="1"/>
        <v>0</v>
      </c>
      <c r="I39" s="166">
        <f t="shared" si="2"/>
        <v>4.8840000000000012</v>
      </c>
      <c r="K39" s="175">
        <v>0.14000000000000001</v>
      </c>
      <c r="L39" s="176">
        <f t="shared" si="0"/>
        <v>0</v>
      </c>
      <c r="M39" s="7"/>
    </row>
    <row r="40" spans="2:13" x14ac:dyDescent="0.25">
      <c r="B40" s="9" t="s">
        <v>181</v>
      </c>
      <c r="C40" s="10" t="s">
        <v>25</v>
      </c>
      <c r="D40" s="11">
        <v>0.53</v>
      </c>
      <c r="E40" s="161">
        <v>0</v>
      </c>
      <c r="F40" s="11">
        <f>D40*(1-Cennik[[#This Row],[RABAT]])*(1-$C$324)</f>
        <v>0.53</v>
      </c>
      <c r="G40" s="85"/>
      <c r="H40" s="57">
        <f t="shared" si="1"/>
        <v>0</v>
      </c>
      <c r="I40" s="166">
        <f t="shared" si="2"/>
        <v>2.3320000000000003</v>
      </c>
      <c r="K40" s="175">
        <v>0.06</v>
      </c>
      <c r="L40" s="176">
        <f t="shared" ref="L40:L71" si="3">G40*K40</f>
        <v>0</v>
      </c>
      <c r="M40" s="7"/>
    </row>
    <row r="41" spans="2:13" x14ac:dyDescent="0.25">
      <c r="B41" s="9" t="s">
        <v>181</v>
      </c>
      <c r="C41" s="10" t="s">
        <v>26</v>
      </c>
      <c r="D41" s="11">
        <v>0.67</v>
      </c>
      <c r="E41" s="161">
        <v>0</v>
      </c>
      <c r="F41" s="11">
        <f>D41*(1-Cennik[[#This Row],[RABAT]])*(1-$C$324)</f>
        <v>0.67</v>
      </c>
      <c r="G41" s="85"/>
      <c r="H41" s="57">
        <f t="shared" si="1"/>
        <v>0</v>
      </c>
      <c r="I41" s="166">
        <f t="shared" si="2"/>
        <v>2.9480000000000004</v>
      </c>
      <c r="K41" s="175">
        <v>6.4000000000000001E-2</v>
      </c>
      <c r="L41" s="176">
        <f t="shared" si="3"/>
        <v>0</v>
      </c>
      <c r="M41" s="7"/>
    </row>
    <row r="42" spans="2:13" x14ac:dyDescent="0.25">
      <c r="B42" s="9" t="s">
        <v>181</v>
      </c>
      <c r="C42" s="10" t="s">
        <v>27</v>
      </c>
      <c r="D42" s="11">
        <v>0.78</v>
      </c>
      <c r="E42" s="161">
        <v>0</v>
      </c>
      <c r="F42" s="11">
        <f>D42*(1-Cennik[[#This Row],[RABAT]])*(1-$C$324)</f>
        <v>0.78</v>
      </c>
      <c r="G42" s="85"/>
      <c r="H42" s="57">
        <f t="shared" si="1"/>
        <v>0</v>
      </c>
      <c r="I42" s="166">
        <f t="shared" si="2"/>
        <v>3.4320000000000004</v>
      </c>
      <c r="K42" s="175">
        <v>5.3999999999999999E-2</v>
      </c>
      <c r="L42" s="176">
        <f t="shared" si="3"/>
        <v>0</v>
      </c>
      <c r="M42" s="7"/>
    </row>
    <row r="43" spans="2:13" x14ac:dyDescent="0.25">
      <c r="B43" s="9" t="s">
        <v>181</v>
      </c>
      <c r="C43" s="10" t="s">
        <v>28</v>
      </c>
      <c r="D43" s="11">
        <v>0.75</v>
      </c>
      <c r="E43" s="161">
        <v>0</v>
      </c>
      <c r="F43" s="11">
        <f>D43*(1-Cennik[[#This Row],[RABAT]])*(1-$C$324)</f>
        <v>0.75</v>
      </c>
      <c r="G43" s="85"/>
      <c r="H43" s="57">
        <f t="shared" si="1"/>
        <v>0</v>
      </c>
      <c r="I43" s="166">
        <f t="shared" si="2"/>
        <v>3.3000000000000003</v>
      </c>
      <c r="K43" s="175">
        <v>0.06</v>
      </c>
      <c r="L43" s="176">
        <f t="shared" si="3"/>
        <v>0</v>
      </c>
      <c r="M43" s="7"/>
    </row>
    <row r="44" spans="2:13" x14ac:dyDescent="0.25">
      <c r="B44" s="9" t="s">
        <v>181</v>
      </c>
      <c r="C44" s="10" t="s">
        <v>29</v>
      </c>
      <c r="D44" s="11">
        <v>0.78</v>
      </c>
      <c r="E44" s="161">
        <v>0</v>
      </c>
      <c r="F44" s="11">
        <f>D44*(1-Cennik[[#This Row],[RABAT]])*(1-$C$324)</f>
        <v>0.78</v>
      </c>
      <c r="G44" s="85"/>
      <c r="H44" s="57">
        <f t="shared" si="1"/>
        <v>0</v>
      </c>
      <c r="I44" s="166">
        <f t="shared" si="2"/>
        <v>3.4320000000000004</v>
      </c>
      <c r="K44" s="175">
        <v>9.1999999999999998E-2</v>
      </c>
      <c r="L44" s="176">
        <f t="shared" si="3"/>
        <v>0</v>
      </c>
      <c r="M44" s="7"/>
    </row>
    <row r="45" spans="2:13" x14ac:dyDescent="0.25">
      <c r="B45" s="9" t="s">
        <v>181</v>
      </c>
      <c r="C45" s="10" t="s">
        <v>30</v>
      </c>
      <c r="D45" s="11">
        <v>0.78</v>
      </c>
      <c r="E45" s="161">
        <v>0</v>
      </c>
      <c r="F45" s="11">
        <f>D45*(1-Cennik[[#This Row],[RABAT]])*(1-$C$324)</f>
        <v>0.78</v>
      </c>
      <c r="G45" s="85"/>
      <c r="H45" s="57">
        <f t="shared" si="1"/>
        <v>0</v>
      </c>
      <c r="I45" s="166">
        <f t="shared" si="2"/>
        <v>3.4320000000000004</v>
      </c>
      <c r="K45" s="175">
        <v>7.8E-2</v>
      </c>
      <c r="L45" s="176">
        <f t="shared" si="3"/>
        <v>0</v>
      </c>
      <c r="M45" s="7"/>
    </row>
    <row r="46" spans="2:13" x14ac:dyDescent="0.25">
      <c r="B46" s="9" t="s">
        <v>181</v>
      </c>
      <c r="C46" s="10" t="s">
        <v>31</v>
      </c>
      <c r="D46" s="11">
        <v>0.45</v>
      </c>
      <c r="E46" s="161">
        <v>0</v>
      </c>
      <c r="F46" s="11">
        <f>D46*(1-Cennik[[#This Row],[RABAT]])*(1-$C$324)</f>
        <v>0.45</v>
      </c>
      <c r="G46" s="85"/>
      <c r="H46" s="57">
        <f t="shared" si="1"/>
        <v>0</v>
      </c>
      <c r="I46" s="166">
        <f t="shared" si="2"/>
        <v>1.9800000000000002</v>
      </c>
      <c r="K46" s="175">
        <v>4.3999999999999997E-2</v>
      </c>
      <c r="L46" s="176">
        <f t="shared" si="3"/>
        <v>0</v>
      </c>
      <c r="M46" s="7"/>
    </row>
    <row r="47" spans="2:13" x14ac:dyDescent="0.25">
      <c r="B47" s="9" t="s">
        <v>181</v>
      </c>
      <c r="C47" s="10" t="s">
        <v>32</v>
      </c>
      <c r="D47" s="11">
        <v>0.37</v>
      </c>
      <c r="E47" s="161">
        <v>0</v>
      </c>
      <c r="F47" s="11">
        <f>D47*(1-Cennik[[#This Row],[RABAT]])*(1-$C$324)</f>
        <v>0.37</v>
      </c>
      <c r="G47" s="85"/>
      <c r="H47" s="57">
        <f t="shared" si="1"/>
        <v>0</v>
      </c>
      <c r="I47" s="166">
        <f t="shared" si="2"/>
        <v>1.6280000000000001</v>
      </c>
      <c r="K47" s="175">
        <v>3.7999999999999999E-2</v>
      </c>
      <c r="L47" s="176">
        <f t="shared" si="3"/>
        <v>0</v>
      </c>
      <c r="M47" s="7"/>
    </row>
    <row r="48" spans="2:13" x14ac:dyDescent="0.25">
      <c r="B48" s="9" t="s">
        <v>181</v>
      </c>
      <c r="C48" s="10" t="s">
        <v>33</v>
      </c>
      <c r="D48" s="11">
        <v>0.68</v>
      </c>
      <c r="E48" s="161">
        <v>0</v>
      </c>
      <c r="F48" s="11">
        <f>D48*(1-Cennik[[#This Row],[RABAT]])*(1-$C$324)</f>
        <v>0.68</v>
      </c>
      <c r="G48" s="85"/>
      <c r="H48" s="57">
        <f t="shared" si="1"/>
        <v>0</v>
      </c>
      <c r="I48" s="166">
        <f t="shared" si="2"/>
        <v>2.9920000000000004</v>
      </c>
      <c r="K48" s="175">
        <v>0.05</v>
      </c>
      <c r="L48" s="176">
        <f t="shared" si="3"/>
        <v>0</v>
      </c>
      <c r="M48" s="7"/>
    </row>
    <row r="49" spans="2:13" x14ac:dyDescent="0.25">
      <c r="B49" s="9" t="s">
        <v>181</v>
      </c>
      <c r="C49" s="10" t="s">
        <v>34</v>
      </c>
      <c r="D49" s="11">
        <v>0.59</v>
      </c>
      <c r="E49" s="161">
        <v>0</v>
      </c>
      <c r="F49" s="11">
        <f>D49*(1-Cennik[[#This Row],[RABAT]])*(1-$C$324)</f>
        <v>0.59</v>
      </c>
      <c r="G49" s="85"/>
      <c r="H49" s="57">
        <f t="shared" si="1"/>
        <v>0</v>
      </c>
      <c r="I49" s="166">
        <f t="shared" si="2"/>
        <v>2.5960000000000001</v>
      </c>
      <c r="K49" s="175">
        <v>0.05</v>
      </c>
      <c r="L49" s="176">
        <f t="shared" si="3"/>
        <v>0</v>
      </c>
      <c r="M49" s="7"/>
    </row>
    <row r="50" spans="2:13" x14ac:dyDescent="0.25">
      <c r="B50" s="9" t="s">
        <v>181</v>
      </c>
      <c r="C50" s="10" t="s">
        <v>35</v>
      </c>
      <c r="D50" s="11">
        <v>0.6</v>
      </c>
      <c r="E50" s="161">
        <v>0</v>
      </c>
      <c r="F50" s="11">
        <f>D50*(1-Cennik[[#This Row],[RABAT]])*(1-$C$324)</f>
        <v>0.6</v>
      </c>
      <c r="G50" s="85"/>
      <c r="H50" s="57">
        <f t="shared" si="1"/>
        <v>0</v>
      </c>
      <c r="I50" s="166">
        <f t="shared" si="2"/>
        <v>2.64</v>
      </c>
      <c r="K50" s="175">
        <v>6.6000000000000003E-2</v>
      </c>
      <c r="L50" s="176">
        <f t="shared" si="3"/>
        <v>0</v>
      </c>
      <c r="M50" s="7"/>
    </row>
    <row r="51" spans="2:13" x14ac:dyDescent="0.25">
      <c r="B51" s="9" t="s">
        <v>181</v>
      </c>
      <c r="C51" s="10" t="s">
        <v>36</v>
      </c>
      <c r="D51" s="11">
        <v>0.65</v>
      </c>
      <c r="E51" s="161">
        <v>0</v>
      </c>
      <c r="F51" s="11">
        <f>D51*(1-Cennik[[#This Row],[RABAT]])*(1-$C$324)</f>
        <v>0.65</v>
      </c>
      <c r="G51" s="85"/>
      <c r="H51" s="57">
        <f t="shared" si="1"/>
        <v>0</v>
      </c>
      <c r="I51" s="166">
        <f t="shared" si="2"/>
        <v>2.8600000000000003</v>
      </c>
      <c r="K51" s="175">
        <v>6.6000000000000003E-2</v>
      </c>
      <c r="L51" s="176">
        <f t="shared" si="3"/>
        <v>0</v>
      </c>
      <c r="M51" s="7"/>
    </row>
    <row r="52" spans="2:13" x14ac:dyDescent="0.25">
      <c r="B52" s="9" t="s">
        <v>181</v>
      </c>
      <c r="C52" s="10" t="s">
        <v>37</v>
      </c>
      <c r="D52" s="11">
        <v>0.6</v>
      </c>
      <c r="E52" s="161">
        <v>0</v>
      </c>
      <c r="F52" s="11">
        <f>D52*(1-Cennik[[#This Row],[RABAT]])*(1-$C$324)</f>
        <v>0.6</v>
      </c>
      <c r="G52" s="85"/>
      <c r="H52" s="57">
        <f t="shared" si="1"/>
        <v>0</v>
      </c>
      <c r="I52" s="166">
        <f t="shared" si="2"/>
        <v>2.64</v>
      </c>
      <c r="K52" s="175">
        <v>6.2E-2</v>
      </c>
      <c r="L52" s="176">
        <f t="shared" si="3"/>
        <v>0</v>
      </c>
      <c r="M52" s="7"/>
    </row>
    <row r="53" spans="2:13" x14ac:dyDescent="0.25">
      <c r="B53" s="9" t="s">
        <v>181</v>
      </c>
      <c r="C53" s="10" t="s">
        <v>38</v>
      </c>
      <c r="D53" s="11">
        <v>0.77</v>
      </c>
      <c r="E53" s="161">
        <v>0</v>
      </c>
      <c r="F53" s="11">
        <f>D53*(1-Cennik[[#This Row],[RABAT]])*(1-$C$324)</f>
        <v>0.77</v>
      </c>
      <c r="G53" s="85"/>
      <c r="H53" s="57">
        <f t="shared" si="1"/>
        <v>0</v>
      </c>
      <c r="I53" s="166">
        <f t="shared" si="2"/>
        <v>3.3880000000000003</v>
      </c>
      <c r="K53" s="175">
        <v>9.4E-2</v>
      </c>
      <c r="L53" s="176">
        <f t="shared" si="3"/>
        <v>0</v>
      </c>
      <c r="M53" s="7"/>
    </row>
    <row r="54" spans="2:13" x14ac:dyDescent="0.25">
      <c r="B54" s="9" t="s">
        <v>181</v>
      </c>
      <c r="C54" s="10" t="s">
        <v>39</v>
      </c>
      <c r="D54" s="11">
        <v>0.92</v>
      </c>
      <c r="E54" s="161">
        <v>0</v>
      </c>
      <c r="F54" s="11">
        <f>D54*(1-Cennik[[#This Row],[RABAT]])*(1-$C$324)</f>
        <v>0.92</v>
      </c>
      <c r="G54" s="85"/>
      <c r="H54" s="57">
        <f t="shared" si="1"/>
        <v>0</v>
      </c>
      <c r="I54" s="166">
        <f t="shared" si="2"/>
        <v>4.0480000000000009</v>
      </c>
      <c r="K54" s="175">
        <v>0.1</v>
      </c>
      <c r="L54" s="176">
        <f t="shared" si="3"/>
        <v>0</v>
      </c>
      <c r="M54" s="7"/>
    </row>
    <row r="55" spans="2:13" x14ac:dyDescent="0.25">
      <c r="B55" s="9" t="s">
        <v>181</v>
      </c>
      <c r="C55" s="10" t="s">
        <v>40</v>
      </c>
      <c r="D55" s="11">
        <v>0.59</v>
      </c>
      <c r="E55" s="161">
        <v>0</v>
      </c>
      <c r="F55" s="11">
        <f>D55*(1-Cennik[[#This Row],[RABAT]])*(1-$C$324)</f>
        <v>0.59</v>
      </c>
      <c r="G55" s="85"/>
      <c r="H55" s="57">
        <f t="shared" si="1"/>
        <v>0</v>
      </c>
      <c r="I55" s="166">
        <f t="shared" si="2"/>
        <v>2.5960000000000001</v>
      </c>
      <c r="K55" s="175">
        <v>0.06</v>
      </c>
      <c r="L55" s="176">
        <f t="shared" si="3"/>
        <v>0</v>
      </c>
      <c r="M55" s="7"/>
    </row>
    <row r="56" spans="2:13" x14ac:dyDescent="0.25">
      <c r="B56" s="9" t="s">
        <v>181</v>
      </c>
      <c r="C56" s="10" t="s">
        <v>41</v>
      </c>
      <c r="D56" s="11">
        <v>0.59</v>
      </c>
      <c r="E56" s="161">
        <v>0</v>
      </c>
      <c r="F56" s="11">
        <f>D56*(1-Cennik[[#This Row],[RABAT]])*(1-$C$324)</f>
        <v>0.59</v>
      </c>
      <c r="G56" s="85"/>
      <c r="H56" s="57">
        <f t="shared" si="1"/>
        <v>0</v>
      </c>
      <c r="I56" s="166">
        <f t="shared" si="2"/>
        <v>2.5960000000000001</v>
      </c>
      <c r="K56" s="175">
        <v>0.06</v>
      </c>
      <c r="L56" s="176">
        <f t="shared" si="3"/>
        <v>0</v>
      </c>
      <c r="M56" s="7"/>
    </row>
    <row r="57" spans="2:13" x14ac:dyDescent="0.25">
      <c r="B57" s="9" t="s">
        <v>181</v>
      </c>
      <c r="C57" s="10" t="s">
        <v>42</v>
      </c>
      <c r="D57" s="11">
        <v>0.95</v>
      </c>
      <c r="E57" s="161">
        <v>0</v>
      </c>
      <c r="F57" s="11">
        <f>D57*(1-Cennik[[#This Row],[RABAT]])*(1-$C$324)</f>
        <v>0.95</v>
      </c>
      <c r="G57" s="85"/>
      <c r="H57" s="57">
        <f t="shared" si="1"/>
        <v>0</v>
      </c>
      <c r="I57" s="166">
        <f t="shared" si="2"/>
        <v>4.18</v>
      </c>
      <c r="K57" s="175">
        <v>0.1</v>
      </c>
      <c r="L57" s="176">
        <f t="shared" si="3"/>
        <v>0</v>
      </c>
      <c r="M57" s="7"/>
    </row>
    <row r="58" spans="2:13" x14ac:dyDescent="0.25">
      <c r="B58" s="9" t="s">
        <v>181</v>
      </c>
      <c r="C58" s="10" t="s">
        <v>43</v>
      </c>
      <c r="D58" s="11">
        <v>0.95</v>
      </c>
      <c r="E58" s="161">
        <v>0</v>
      </c>
      <c r="F58" s="11">
        <f>D58*(1-Cennik[[#This Row],[RABAT]])*(1-$C$324)</f>
        <v>0.95</v>
      </c>
      <c r="G58" s="85"/>
      <c r="H58" s="57">
        <f t="shared" si="1"/>
        <v>0</v>
      </c>
      <c r="I58" s="166">
        <f t="shared" si="2"/>
        <v>4.18</v>
      </c>
      <c r="K58" s="175">
        <v>0.1</v>
      </c>
      <c r="L58" s="176">
        <f t="shared" si="3"/>
        <v>0</v>
      </c>
      <c r="M58" s="7"/>
    </row>
    <row r="59" spans="2:13" x14ac:dyDescent="0.25">
      <c r="B59" s="12" t="s">
        <v>181</v>
      </c>
      <c r="C59" s="16" t="s">
        <v>296</v>
      </c>
      <c r="D59" s="14">
        <v>0.36</v>
      </c>
      <c r="E59" s="161">
        <v>0</v>
      </c>
      <c r="F59" s="11">
        <f>D59*(1-Cennik[[#This Row],[RABAT]])*(1-$C$324)</f>
        <v>0.36</v>
      </c>
      <c r="G59" s="85"/>
      <c r="H59" s="57">
        <f t="shared" si="1"/>
        <v>0</v>
      </c>
      <c r="I59" s="166">
        <f t="shared" si="2"/>
        <v>1.5840000000000001</v>
      </c>
      <c r="K59" s="175">
        <v>7.1999999999999995E-2</v>
      </c>
      <c r="L59" s="176">
        <f t="shared" si="3"/>
        <v>0</v>
      </c>
      <c r="M59" s="7"/>
    </row>
    <row r="60" spans="2:13" x14ac:dyDescent="0.25">
      <c r="B60" s="12" t="s">
        <v>181</v>
      </c>
      <c r="C60" s="16" t="s">
        <v>267</v>
      </c>
      <c r="D60" s="14">
        <v>0.44</v>
      </c>
      <c r="E60" s="161">
        <v>0</v>
      </c>
      <c r="F60" s="11">
        <f>D60*(1-Cennik[[#This Row],[RABAT]])*(1-$C$324)</f>
        <v>0.44</v>
      </c>
      <c r="G60" s="85"/>
      <c r="H60" s="57">
        <f t="shared" si="1"/>
        <v>0</v>
      </c>
      <c r="I60" s="166">
        <f t="shared" si="2"/>
        <v>1.9360000000000002</v>
      </c>
      <c r="K60" s="175">
        <v>7.1999999999999995E-2</v>
      </c>
      <c r="L60" s="176">
        <f t="shared" si="3"/>
        <v>0</v>
      </c>
      <c r="M60" s="7"/>
    </row>
    <row r="61" spans="2:13" x14ac:dyDescent="0.25">
      <c r="B61" s="12" t="s">
        <v>181</v>
      </c>
      <c r="C61" s="16" t="s">
        <v>268</v>
      </c>
      <c r="D61" s="14">
        <v>0.49</v>
      </c>
      <c r="E61" s="161">
        <v>0</v>
      </c>
      <c r="F61" s="11">
        <f>D61*(1-Cennik[[#This Row],[RABAT]])*(1-$C$324)</f>
        <v>0.49</v>
      </c>
      <c r="G61" s="85"/>
      <c r="H61" s="57">
        <f t="shared" si="1"/>
        <v>0</v>
      </c>
      <c r="I61" s="166">
        <f t="shared" si="2"/>
        <v>2.1560000000000001</v>
      </c>
      <c r="K61" s="175">
        <v>9.6000000000000002E-2</v>
      </c>
      <c r="L61" s="176">
        <f t="shared" si="3"/>
        <v>0</v>
      </c>
      <c r="M61" s="7"/>
    </row>
    <row r="62" spans="2:13" x14ac:dyDescent="0.25">
      <c r="B62" s="12" t="s">
        <v>181</v>
      </c>
      <c r="C62" s="16" t="s">
        <v>269</v>
      </c>
      <c r="D62" s="14">
        <v>0.6</v>
      </c>
      <c r="E62" s="161">
        <v>0</v>
      </c>
      <c r="F62" s="11">
        <f>D62*(1-Cennik[[#This Row],[RABAT]])*(1-$C$324)</f>
        <v>0.6</v>
      </c>
      <c r="G62" s="85"/>
      <c r="H62" s="57">
        <f t="shared" si="1"/>
        <v>0</v>
      </c>
      <c r="I62" s="166">
        <f t="shared" si="2"/>
        <v>2.64</v>
      </c>
      <c r="K62" s="175">
        <v>0.122</v>
      </c>
      <c r="L62" s="176">
        <f t="shared" si="3"/>
        <v>0</v>
      </c>
      <c r="M62" s="7"/>
    </row>
    <row r="63" spans="2:13" x14ac:dyDescent="0.25">
      <c r="B63" s="12" t="s">
        <v>181</v>
      </c>
      <c r="C63" s="16" t="s">
        <v>270</v>
      </c>
      <c r="D63" s="14">
        <v>0.51</v>
      </c>
      <c r="E63" s="161">
        <v>0</v>
      </c>
      <c r="F63" s="11">
        <f>D63*(1-Cennik[[#This Row],[RABAT]])*(1-$C$324)</f>
        <v>0.51</v>
      </c>
      <c r="G63" s="85"/>
      <c r="H63" s="57">
        <f t="shared" si="1"/>
        <v>0</v>
      </c>
      <c r="I63" s="166">
        <f t="shared" si="2"/>
        <v>2.2440000000000002</v>
      </c>
      <c r="K63" s="175">
        <v>0.122</v>
      </c>
      <c r="L63" s="176">
        <f t="shared" si="3"/>
        <v>0</v>
      </c>
      <c r="M63" s="7"/>
    </row>
    <row r="64" spans="2:13" x14ac:dyDescent="0.25">
      <c r="B64" s="12" t="s">
        <v>181</v>
      </c>
      <c r="C64" s="16" t="s">
        <v>271</v>
      </c>
      <c r="D64" s="14">
        <v>0.36</v>
      </c>
      <c r="E64" s="161">
        <v>0</v>
      </c>
      <c r="F64" s="11">
        <f>D64*(1-Cennik[[#This Row],[RABAT]])*(1-$C$324)</f>
        <v>0.36</v>
      </c>
      <c r="G64" s="85"/>
      <c r="H64" s="57">
        <f t="shared" si="1"/>
        <v>0</v>
      </c>
      <c r="I64" s="166">
        <f t="shared" si="2"/>
        <v>1.5840000000000001</v>
      </c>
      <c r="K64" s="175">
        <v>4.3999999999999997E-2</v>
      </c>
      <c r="L64" s="176">
        <f t="shared" si="3"/>
        <v>0</v>
      </c>
      <c r="M64" s="7"/>
    </row>
    <row r="65" spans="2:13" x14ac:dyDescent="0.25">
      <c r="B65" s="12" t="s">
        <v>181</v>
      </c>
      <c r="C65" s="16" t="s">
        <v>272</v>
      </c>
      <c r="D65" s="14">
        <v>0.38</v>
      </c>
      <c r="E65" s="161">
        <v>0</v>
      </c>
      <c r="F65" s="11">
        <f>D65*(1-Cennik[[#This Row],[RABAT]])*(1-$C$324)</f>
        <v>0.38</v>
      </c>
      <c r="G65" s="85"/>
      <c r="H65" s="57">
        <f t="shared" si="1"/>
        <v>0</v>
      </c>
      <c r="I65" s="166">
        <f t="shared" si="2"/>
        <v>1.6720000000000002</v>
      </c>
      <c r="K65" s="175">
        <v>5.3999999999999999E-2</v>
      </c>
      <c r="L65" s="176">
        <f t="shared" si="3"/>
        <v>0</v>
      </c>
      <c r="M65" s="7"/>
    </row>
    <row r="66" spans="2:13" x14ac:dyDescent="0.25">
      <c r="B66" s="12" t="s">
        <v>181</v>
      </c>
      <c r="C66" s="16" t="s">
        <v>273</v>
      </c>
      <c r="D66" s="14">
        <v>0.49</v>
      </c>
      <c r="E66" s="161">
        <v>0</v>
      </c>
      <c r="F66" s="11">
        <f>D66*(1-Cennik[[#This Row],[RABAT]])*(1-$C$324)</f>
        <v>0.49</v>
      </c>
      <c r="G66" s="85"/>
      <c r="H66" s="57">
        <f t="shared" si="1"/>
        <v>0</v>
      </c>
      <c r="I66" s="166">
        <f t="shared" si="2"/>
        <v>2.1560000000000001</v>
      </c>
      <c r="K66" s="175">
        <v>5.1999999999999998E-2</v>
      </c>
      <c r="L66" s="176">
        <f t="shared" si="3"/>
        <v>0</v>
      </c>
      <c r="M66" s="7"/>
    </row>
    <row r="67" spans="2:13" x14ac:dyDescent="0.25">
      <c r="B67" s="12" t="s">
        <v>181</v>
      </c>
      <c r="C67" s="16" t="s">
        <v>274</v>
      </c>
      <c r="D67" s="14">
        <v>0.45</v>
      </c>
      <c r="E67" s="161">
        <v>0</v>
      </c>
      <c r="F67" s="11">
        <f>D67*(1-Cennik[[#This Row],[RABAT]])*(1-$C$324)</f>
        <v>0.45</v>
      </c>
      <c r="G67" s="85"/>
      <c r="H67" s="57">
        <f t="shared" si="1"/>
        <v>0</v>
      </c>
      <c r="I67" s="166">
        <f t="shared" si="2"/>
        <v>1.9800000000000002</v>
      </c>
      <c r="K67" s="175">
        <v>5.1999999999999998E-2</v>
      </c>
      <c r="L67" s="176">
        <f t="shared" si="3"/>
        <v>0</v>
      </c>
      <c r="M67" s="7"/>
    </row>
    <row r="68" spans="2:13" x14ac:dyDescent="0.25">
      <c r="B68" s="12" t="s">
        <v>181</v>
      </c>
      <c r="C68" s="16" t="s">
        <v>275</v>
      </c>
      <c r="D68" s="14">
        <v>0.64</v>
      </c>
      <c r="E68" s="161">
        <v>0</v>
      </c>
      <c r="F68" s="11">
        <f>D68*(1-Cennik[[#This Row],[RABAT]])*(1-$C$324)</f>
        <v>0.64</v>
      </c>
      <c r="G68" s="85"/>
      <c r="H68" s="57">
        <f t="shared" si="1"/>
        <v>0</v>
      </c>
      <c r="I68" s="166">
        <f t="shared" si="2"/>
        <v>2.8160000000000003</v>
      </c>
      <c r="K68" s="175">
        <v>0.04</v>
      </c>
      <c r="L68" s="176">
        <f t="shared" si="3"/>
        <v>0</v>
      </c>
      <c r="M68" s="7"/>
    </row>
    <row r="69" spans="2:13" x14ac:dyDescent="0.25">
      <c r="B69" s="12" t="s">
        <v>181</v>
      </c>
      <c r="C69" s="16" t="s">
        <v>276</v>
      </c>
      <c r="D69" s="14">
        <v>0.42</v>
      </c>
      <c r="E69" s="161">
        <v>0</v>
      </c>
      <c r="F69" s="11">
        <f>D69*(1-Cennik[[#This Row],[RABAT]])*(1-$C$324)</f>
        <v>0.42</v>
      </c>
      <c r="G69" s="85"/>
      <c r="H69" s="57">
        <f t="shared" si="1"/>
        <v>0</v>
      </c>
      <c r="I69" s="166">
        <f t="shared" si="2"/>
        <v>1.8480000000000001</v>
      </c>
      <c r="K69" s="175">
        <v>4.8000000000000001E-2</v>
      </c>
      <c r="L69" s="176">
        <f t="shared" si="3"/>
        <v>0</v>
      </c>
      <c r="M69" s="7"/>
    </row>
    <row r="70" spans="2:13" x14ac:dyDescent="0.25">
      <c r="B70" s="12" t="s">
        <v>181</v>
      </c>
      <c r="C70" s="16" t="s">
        <v>277</v>
      </c>
      <c r="D70" s="14">
        <v>1.1100000000000001</v>
      </c>
      <c r="E70" s="161">
        <v>0</v>
      </c>
      <c r="F70" s="11">
        <f>D70*(1-Cennik[[#This Row],[RABAT]])*(1-$C$324)</f>
        <v>1.1100000000000001</v>
      </c>
      <c r="G70" s="85"/>
      <c r="H70" s="57">
        <f t="shared" si="1"/>
        <v>0</v>
      </c>
      <c r="I70" s="166">
        <f t="shared" si="2"/>
        <v>4.8840000000000012</v>
      </c>
      <c r="K70" s="175">
        <v>0.14000000000000001</v>
      </c>
      <c r="L70" s="176">
        <f t="shared" si="3"/>
        <v>0</v>
      </c>
      <c r="M70" s="7"/>
    </row>
    <row r="71" spans="2:13" x14ac:dyDescent="0.25">
      <c r="B71" s="12" t="s">
        <v>181</v>
      </c>
      <c r="C71" s="16" t="s">
        <v>278</v>
      </c>
      <c r="D71" s="14">
        <v>0.53</v>
      </c>
      <c r="E71" s="161">
        <v>0</v>
      </c>
      <c r="F71" s="11">
        <f>D71*(1-Cennik[[#This Row],[RABAT]])*(1-$C$324)</f>
        <v>0.53</v>
      </c>
      <c r="G71" s="85"/>
      <c r="H71" s="57">
        <f t="shared" si="1"/>
        <v>0</v>
      </c>
      <c r="I71" s="166">
        <f t="shared" si="2"/>
        <v>2.3320000000000003</v>
      </c>
      <c r="K71" s="175">
        <v>0.06</v>
      </c>
      <c r="L71" s="176">
        <f t="shared" si="3"/>
        <v>0</v>
      </c>
      <c r="M71" s="7"/>
    </row>
    <row r="72" spans="2:13" x14ac:dyDescent="0.25">
      <c r="B72" s="12" t="s">
        <v>181</v>
      </c>
      <c r="C72" s="16" t="s">
        <v>279</v>
      </c>
      <c r="D72" s="14">
        <v>0.67</v>
      </c>
      <c r="E72" s="161">
        <v>0</v>
      </c>
      <c r="F72" s="11">
        <f>D72*(1-Cennik[[#This Row],[RABAT]])*(1-$C$324)</f>
        <v>0.67</v>
      </c>
      <c r="G72" s="85"/>
      <c r="H72" s="57">
        <f t="shared" si="1"/>
        <v>0</v>
      </c>
      <c r="I72" s="166">
        <f t="shared" si="2"/>
        <v>2.9480000000000004</v>
      </c>
      <c r="K72" s="175">
        <v>6.4000000000000001E-2</v>
      </c>
      <c r="L72" s="176">
        <f t="shared" ref="L72:L103" si="4">G72*K72</f>
        <v>0</v>
      </c>
      <c r="M72" s="7"/>
    </row>
    <row r="73" spans="2:13" x14ac:dyDescent="0.25">
      <c r="B73" s="12" t="s">
        <v>181</v>
      </c>
      <c r="C73" s="16" t="s">
        <v>280</v>
      </c>
      <c r="D73" s="14">
        <v>0.78</v>
      </c>
      <c r="E73" s="161">
        <v>0</v>
      </c>
      <c r="F73" s="11">
        <f>D73*(1-Cennik[[#This Row],[RABAT]])*(1-$C$324)</f>
        <v>0.78</v>
      </c>
      <c r="G73" s="85"/>
      <c r="H73" s="57">
        <f t="shared" ref="H73:H136" si="5">G73*F73</f>
        <v>0</v>
      </c>
      <c r="I73" s="166">
        <f t="shared" ref="I73:I136" si="6">$C$323*F73</f>
        <v>3.4320000000000004</v>
      </c>
      <c r="K73" s="175">
        <v>5.3999999999999999E-2</v>
      </c>
      <c r="L73" s="176">
        <f t="shared" si="4"/>
        <v>0</v>
      </c>
      <c r="M73" s="7"/>
    </row>
    <row r="74" spans="2:13" x14ac:dyDescent="0.25">
      <c r="B74" s="12" t="s">
        <v>181</v>
      </c>
      <c r="C74" s="16" t="s">
        <v>281</v>
      </c>
      <c r="D74" s="14">
        <v>0.75</v>
      </c>
      <c r="E74" s="161">
        <v>0</v>
      </c>
      <c r="F74" s="11">
        <f>D74*(1-Cennik[[#This Row],[RABAT]])*(1-$C$324)</f>
        <v>0.75</v>
      </c>
      <c r="G74" s="85"/>
      <c r="H74" s="57">
        <f t="shared" si="5"/>
        <v>0</v>
      </c>
      <c r="I74" s="166">
        <f t="shared" si="6"/>
        <v>3.3000000000000003</v>
      </c>
      <c r="K74" s="175">
        <v>0.06</v>
      </c>
      <c r="L74" s="176">
        <f t="shared" si="4"/>
        <v>0</v>
      </c>
      <c r="M74" s="7"/>
    </row>
    <row r="75" spans="2:13" x14ac:dyDescent="0.25">
      <c r="B75" s="12" t="s">
        <v>181</v>
      </c>
      <c r="C75" s="16" t="s">
        <v>282</v>
      </c>
      <c r="D75" s="14">
        <v>0.78</v>
      </c>
      <c r="E75" s="161">
        <v>0</v>
      </c>
      <c r="F75" s="11">
        <f>D75*(1-Cennik[[#This Row],[RABAT]])*(1-$C$324)</f>
        <v>0.78</v>
      </c>
      <c r="G75" s="85"/>
      <c r="H75" s="57">
        <f t="shared" si="5"/>
        <v>0</v>
      </c>
      <c r="I75" s="166">
        <f t="shared" si="6"/>
        <v>3.4320000000000004</v>
      </c>
      <c r="K75" s="175">
        <v>9.1999999999999998E-2</v>
      </c>
      <c r="L75" s="176">
        <f t="shared" si="4"/>
        <v>0</v>
      </c>
      <c r="M75" s="7"/>
    </row>
    <row r="76" spans="2:13" x14ac:dyDescent="0.25">
      <c r="B76" s="12" t="s">
        <v>181</v>
      </c>
      <c r="C76" s="16" t="s">
        <v>283</v>
      </c>
      <c r="D76" s="14">
        <v>0.78</v>
      </c>
      <c r="E76" s="161">
        <v>0</v>
      </c>
      <c r="F76" s="11">
        <f>D76*(1-Cennik[[#This Row],[RABAT]])*(1-$C$324)</f>
        <v>0.78</v>
      </c>
      <c r="G76" s="85"/>
      <c r="H76" s="57">
        <f t="shared" si="5"/>
        <v>0</v>
      </c>
      <c r="I76" s="166">
        <f t="shared" si="6"/>
        <v>3.4320000000000004</v>
      </c>
      <c r="K76" s="175">
        <v>7.8E-2</v>
      </c>
      <c r="L76" s="176">
        <f t="shared" si="4"/>
        <v>0</v>
      </c>
      <c r="M76" s="7"/>
    </row>
    <row r="77" spans="2:13" x14ac:dyDescent="0.25">
      <c r="B77" s="12" t="s">
        <v>181</v>
      </c>
      <c r="C77" s="16" t="s">
        <v>284</v>
      </c>
      <c r="D77" s="14">
        <v>0.45</v>
      </c>
      <c r="E77" s="161">
        <v>0</v>
      </c>
      <c r="F77" s="11">
        <f>D77*(1-Cennik[[#This Row],[RABAT]])*(1-$C$324)</f>
        <v>0.45</v>
      </c>
      <c r="G77" s="85"/>
      <c r="H77" s="57">
        <f t="shared" si="5"/>
        <v>0</v>
      </c>
      <c r="I77" s="166">
        <f t="shared" si="6"/>
        <v>1.9800000000000002</v>
      </c>
      <c r="K77" s="175">
        <v>4.3999999999999997E-2</v>
      </c>
      <c r="L77" s="176">
        <f t="shared" si="4"/>
        <v>0</v>
      </c>
      <c r="M77" s="7"/>
    </row>
    <row r="78" spans="2:13" x14ac:dyDescent="0.25">
      <c r="B78" s="12" t="s">
        <v>181</v>
      </c>
      <c r="C78" s="16" t="s">
        <v>285</v>
      </c>
      <c r="D78" s="14">
        <v>0.37</v>
      </c>
      <c r="E78" s="161">
        <v>0</v>
      </c>
      <c r="F78" s="11">
        <f>D78*(1-Cennik[[#This Row],[RABAT]])*(1-$C$324)</f>
        <v>0.37</v>
      </c>
      <c r="G78" s="85"/>
      <c r="H78" s="57">
        <f t="shared" si="5"/>
        <v>0</v>
      </c>
      <c r="I78" s="166">
        <f t="shared" si="6"/>
        <v>1.6280000000000001</v>
      </c>
      <c r="K78" s="175">
        <v>3.7999999999999999E-2</v>
      </c>
      <c r="L78" s="176">
        <f t="shared" si="4"/>
        <v>0</v>
      </c>
      <c r="M78" s="7"/>
    </row>
    <row r="79" spans="2:13" x14ac:dyDescent="0.25">
      <c r="B79" s="12" t="s">
        <v>181</v>
      </c>
      <c r="C79" s="16" t="s">
        <v>286</v>
      </c>
      <c r="D79" s="14">
        <v>0.68</v>
      </c>
      <c r="E79" s="161">
        <v>0</v>
      </c>
      <c r="F79" s="11">
        <f>D79*(1-Cennik[[#This Row],[RABAT]])*(1-$C$324)</f>
        <v>0.68</v>
      </c>
      <c r="G79" s="85"/>
      <c r="H79" s="57">
        <f t="shared" si="5"/>
        <v>0</v>
      </c>
      <c r="I79" s="166">
        <f t="shared" si="6"/>
        <v>2.9920000000000004</v>
      </c>
      <c r="K79" s="175">
        <v>0.05</v>
      </c>
      <c r="L79" s="176">
        <f t="shared" si="4"/>
        <v>0</v>
      </c>
      <c r="M79" s="7"/>
    </row>
    <row r="80" spans="2:13" x14ac:dyDescent="0.25">
      <c r="B80" s="12" t="s">
        <v>181</v>
      </c>
      <c r="C80" s="16" t="s">
        <v>287</v>
      </c>
      <c r="D80" s="14">
        <v>0.59</v>
      </c>
      <c r="E80" s="161">
        <v>0</v>
      </c>
      <c r="F80" s="11">
        <f>D80*(1-Cennik[[#This Row],[RABAT]])*(1-$C$324)</f>
        <v>0.59</v>
      </c>
      <c r="G80" s="85"/>
      <c r="H80" s="57">
        <f t="shared" si="5"/>
        <v>0</v>
      </c>
      <c r="I80" s="166">
        <f t="shared" si="6"/>
        <v>2.5960000000000001</v>
      </c>
      <c r="K80" s="175">
        <v>0.05</v>
      </c>
      <c r="L80" s="176">
        <f t="shared" si="4"/>
        <v>0</v>
      </c>
      <c r="M80" s="7"/>
    </row>
    <row r="81" spans="2:13" x14ac:dyDescent="0.25">
      <c r="B81" s="12" t="s">
        <v>181</v>
      </c>
      <c r="C81" s="16" t="s">
        <v>288</v>
      </c>
      <c r="D81" s="14">
        <v>0.6</v>
      </c>
      <c r="E81" s="161">
        <v>0</v>
      </c>
      <c r="F81" s="11">
        <f>D81*(1-Cennik[[#This Row],[RABAT]])*(1-$C$324)</f>
        <v>0.6</v>
      </c>
      <c r="G81" s="85"/>
      <c r="H81" s="57">
        <f t="shared" si="5"/>
        <v>0</v>
      </c>
      <c r="I81" s="166">
        <f t="shared" si="6"/>
        <v>2.64</v>
      </c>
      <c r="K81" s="175">
        <v>6.6000000000000003E-2</v>
      </c>
      <c r="L81" s="176">
        <f t="shared" si="4"/>
        <v>0</v>
      </c>
      <c r="M81" s="7"/>
    </row>
    <row r="82" spans="2:13" x14ac:dyDescent="0.25">
      <c r="B82" s="12" t="s">
        <v>181</v>
      </c>
      <c r="C82" s="16" t="s">
        <v>289</v>
      </c>
      <c r="D82" s="14">
        <v>0.65</v>
      </c>
      <c r="E82" s="161">
        <v>0</v>
      </c>
      <c r="F82" s="11">
        <f>D82*(1-Cennik[[#This Row],[RABAT]])*(1-$C$324)</f>
        <v>0.65</v>
      </c>
      <c r="G82" s="85"/>
      <c r="H82" s="57">
        <f t="shared" si="5"/>
        <v>0</v>
      </c>
      <c r="I82" s="166">
        <f t="shared" si="6"/>
        <v>2.8600000000000003</v>
      </c>
      <c r="K82" s="175">
        <v>6.6000000000000003E-2</v>
      </c>
      <c r="L82" s="176">
        <f t="shared" si="4"/>
        <v>0</v>
      </c>
      <c r="M82" s="7"/>
    </row>
    <row r="83" spans="2:13" x14ac:dyDescent="0.25">
      <c r="B83" s="12" t="s">
        <v>181</v>
      </c>
      <c r="C83" s="16" t="s">
        <v>290</v>
      </c>
      <c r="D83" s="14">
        <v>0.6</v>
      </c>
      <c r="E83" s="161">
        <v>0</v>
      </c>
      <c r="F83" s="11">
        <f>D83*(1-Cennik[[#This Row],[RABAT]])*(1-$C$324)</f>
        <v>0.6</v>
      </c>
      <c r="G83" s="85"/>
      <c r="H83" s="57">
        <f t="shared" si="5"/>
        <v>0</v>
      </c>
      <c r="I83" s="166">
        <f t="shared" si="6"/>
        <v>2.64</v>
      </c>
      <c r="K83" s="175">
        <v>6.2E-2</v>
      </c>
      <c r="L83" s="176">
        <f t="shared" si="4"/>
        <v>0</v>
      </c>
      <c r="M83" s="7"/>
    </row>
    <row r="84" spans="2:13" x14ac:dyDescent="0.25">
      <c r="B84" s="12" t="s">
        <v>181</v>
      </c>
      <c r="C84" s="16" t="s">
        <v>291</v>
      </c>
      <c r="D84" s="14">
        <v>0.77</v>
      </c>
      <c r="E84" s="161">
        <v>0</v>
      </c>
      <c r="F84" s="11">
        <f>D84*(1-Cennik[[#This Row],[RABAT]])*(1-$C$324)</f>
        <v>0.77</v>
      </c>
      <c r="G84" s="85"/>
      <c r="H84" s="57">
        <f t="shared" si="5"/>
        <v>0</v>
      </c>
      <c r="I84" s="166">
        <f t="shared" si="6"/>
        <v>3.3880000000000003</v>
      </c>
      <c r="K84" s="175">
        <v>9.4E-2</v>
      </c>
      <c r="L84" s="176">
        <f t="shared" si="4"/>
        <v>0</v>
      </c>
      <c r="M84" s="7"/>
    </row>
    <row r="85" spans="2:13" x14ac:dyDescent="0.25">
      <c r="B85" s="12" t="s">
        <v>181</v>
      </c>
      <c r="C85" s="16" t="s">
        <v>292</v>
      </c>
      <c r="D85" s="14">
        <v>0.92</v>
      </c>
      <c r="E85" s="161">
        <v>0</v>
      </c>
      <c r="F85" s="11">
        <f>D85*(1-Cennik[[#This Row],[RABAT]])*(1-$C$324)</f>
        <v>0.92</v>
      </c>
      <c r="G85" s="85"/>
      <c r="H85" s="57">
        <f t="shared" si="5"/>
        <v>0</v>
      </c>
      <c r="I85" s="166">
        <f t="shared" si="6"/>
        <v>4.0480000000000009</v>
      </c>
      <c r="K85" s="175">
        <v>0.1</v>
      </c>
      <c r="L85" s="176">
        <f t="shared" si="4"/>
        <v>0</v>
      </c>
      <c r="M85" s="7"/>
    </row>
    <row r="86" spans="2:13" x14ac:dyDescent="0.25">
      <c r="B86" s="12" t="s">
        <v>181</v>
      </c>
      <c r="C86" s="16" t="s">
        <v>293</v>
      </c>
      <c r="D86" s="14">
        <v>0.59</v>
      </c>
      <c r="E86" s="161">
        <v>0</v>
      </c>
      <c r="F86" s="11">
        <f>D86*(1-Cennik[[#This Row],[RABAT]])*(1-$C$324)</f>
        <v>0.59</v>
      </c>
      <c r="G86" s="85"/>
      <c r="H86" s="57">
        <f t="shared" si="5"/>
        <v>0</v>
      </c>
      <c r="I86" s="166">
        <f t="shared" si="6"/>
        <v>2.5960000000000001</v>
      </c>
      <c r="K86" s="175">
        <v>0.06</v>
      </c>
      <c r="L86" s="176">
        <f t="shared" si="4"/>
        <v>0</v>
      </c>
      <c r="M86" s="7"/>
    </row>
    <row r="87" spans="2:13" x14ac:dyDescent="0.25">
      <c r="B87" s="12" t="s">
        <v>181</v>
      </c>
      <c r="C87" s="16" t="s">
        <v>294</v>
      </c>
      <c r="D87" s="14">
        <v>0.59</v>
      </c>
      <c r="E87" s="161">
        <v>0</v>
      </c>
      <c r="F87" s="11">
        <f>D87*(1-Cennik[[#This Row],[RABAT]])*(1-$C$324)</f>
        <v>0.59</v>
      </c>
      <c r="G87" s="85"/>
      <c r="H87" s="57">
        <f t="shared" si="5"/>
        <v>0</v>
      </c>
      <c r="I87" s="166">
        <f t="shared" si="6"/>
        <v>2.5960000000000001</v>
      </c>
      <c r="K87" s="175">
        <v>0.06</v>
      </c>
      <c r="L87" s="176">
        <f t="shared" si="4"/>
        <v>0</v>
      </c>
      <c r="M87" s="7"/>
    </row>
    <row r="88" spans="2:13" x14ac:dyDescent="0.25">
      <c r="B88" s="12" t="s">
        <v>181</v>
      </c>
      <c r="C88" s="16" t="s">
        <v>295</v>
      </c>
      <c r="D88" s="14">
        <v>0.95</v>
      </c>
      <c r="E88" s="161">
        <v>0</v>
      </c>
      <c r="F88" s="11">
        <f>D88*(1-Cennik[[#This Row],[RABAT]])*(1-$C$324)</f>
        <v>0.95</v>
      </c>
      <c r="G88" s="85"/>
      <c r="H88" s="57">
        <f t="shared" si="5"/>
        <v>0</v>
      </c>
      <c r="I88" s="166">
        <f t="shared" si="6"/>
        <v>4.18</v>
      </c>
      <c r="K88" s="175">
        <v>0.1</v>
      </c>
      <c r="L88" s="176">
        <f t="shared" si="4"/>
        <v>0</v>
      </c>
      <c r="M88" s="7"/>
    </row>
    <row r="89" spans="2:13" x14ac:dyDescent="0.25">
      <c r="B89" s="17" t="s">
        <v>181</v>
      </c>
      <c r="C89" s="18" t="s">
        <v>297</v>
      </c>
      <c r="D89" s="19">
        <v>0.95</v>
      </c>
      <c r="E89" s="161">
        <v>0</v>
      </c>
      <c r="F89" s="11">
        <f>D89*(1-Cennik[[#This Row],[RABAT]])*(1-$C$324)</f>
        <v>0.95</v>
      </c>
      <c r="G89" s="85"/>
      <c r="H89" s="57">
        <f t="shared" si="5"/>
        <v>0</v>
      </c>
      <c r="I89" s="166">
        <f t="shared" si="6"/>
        <v>4.18</v>
      </c>
      <c r="K89" s="175">
        <v>0.1</v>
      </c>
      <c r="L89" s="176">
        <f t="shared" si="4"/>
        <v>0</v>
      </c>
      <c r="M89" s="7"/>
    </row>
    <row r="90" spans="2:13" x14ac:dyDescent="0.25">
      <c r="B90" s="167" t="s">
        <v>181</v>
      </c>
      <c r="C90" s="20" t="s">
        <v>315</v>
      </c>
      <c r="D90" s="21">
        <f>(2*D28)+D241+D242</f>
        <v>0.86999999999999988</v>
      </c>
      <c r="E90" s="161">
        <v>0</v>
      </c>
      <c r="F90" s="11">
        <f>D90*(1-Cennik[[#This Row],[RABAT]])*(1-$C$324)</f>
        <v>0.86999999999999988</v>
      </c>
      <c r="G90" s="85"/>
      <c r="H90" s="57">
        <f t="shared" si="5"/>
        <v>0</v>
      </c>
      <c r="I90" s="166">
        <f t="shared" si="6"/>
        <v>3.8279999999999998</v>
      </c>
      <c r="K90" s="175">
        <v>0.14399999999999999</v>
      </c>
      <c r="L90" s="176">
        <f t="shared" si="4"/>
        <v>0</v>
      </c>
      <c r="M90" s="7"/>
    </row>
    <row r="91" spans="2:13" x14ac:dyDescent="0.25">
      <c r="B91" s="167" t="s">
        <v>181</v>
      </c>
      <c r="C91" s="20" t="s">
        <v>316</v>
      </c>
      <c r="D91" s="21">
        <f>D30+D31+(2*D242)+(2*D241)</f>
        <v>1.39</v>
      </c>
      <c r="E91" s="161">
        <v>0</v>
      </c>
      <c r="F91" s="11">
        <f>D91*(1-Cennik[[#This Row],[RABAT]])*(1-$C$324)</f>
        <v>1.39</v>
      </c>
      <c r="G91" s="85"/>
      <c r="H91" s="57">
        <f t="shared" si="5"/>
        <v>0</v>
      </c>
      <c r="I91" s="166">
        <f t="shared" si="6"/>
        <v>6.1159999999999997</v>
      </c>
      <c r="K91" s="175">
        <v>0.218</v>
      </c>
      <c r="L91" s="176">
        <f t="shared" si="4"/>
        <v>0</v>
      </c>
      <c r="M91" s="7"/>
    </row>
    <row r="92" spans="2:13" x14ac:dyDescent="0.25">
      <c r="B92" s="167" t="s">
        <v>181</v>
      </c>
      <c r="C92" s="20" t="s">
        <v>317</v>
      </c>
      <c r="D92" s="21">
        <f>(2*D30)+D32+(3*D242)+(3*D241)</f>
        <v>1.94</v>
      </c>
      <c r="E92" s="161">
        <v>0</v>
      </c>
      <c r="F92" s="11">
        <f>D92*(1-Cennik[[#This Row],[RABAT]])*(1-$C$324)</f>
        <v>1.94</v>
      </c>
      <c r="G92" s="85"/>
      <c r="H92" s="57">
        <f t="shared" si="5"/>
        <v>0</v>
      </c>
      <c r="I92" s="166">
        <f t="shared" si="6"/>
        <v>8.5359999999999996</v>
      </c>
      <c r="K92" s="175">
        <v>0.314</v>
      </c>
      <c r="L92" s="176">
        <f t="shared" si="4"/>
        <v>0</v>
      </c>
      <c r="M92" s="7"/>
    </row>
    <row r="93" spans="2:13" x14ac:dyDescent="0.25">
      <c r="B93" s="167" t="s">
        <v>181</v>
      </c>
      <c r="C93" s="20" t="s">
        <v>318</v>
      </c>
      <c r="D93" s="21">
        <f>(2*D32)+(2*D242)+(2*D241)</f>
        <v>1.32</v>
      </c>
      <c r="E93" s="161">
        <v>0</v>
      </c>
      <c r="F93" s="11">
        <f>D93*(1-Cennik[[#This Row],[RABAT]])*(1-$C$324)</f>
        <v>1.32</v>
      </c>
      <c r="G93" s="85"/>
      <c r="H93" s="57">
        <f t="shared" si="5"/>
        <v>0</v>
      </c>
      <c r="I93" s="166">
        <f t="shared" si="6"/>
        <v>5.8080000000000007</v>
      </c>
      <c r="K93" s="175">
        <v>0.24399999999999999</v>
      </c>
      <c r="L93" s="176">
        <f t="shared" si="4"/>
        <v>0</v>
      </c>
      <c r="M93" s="7"/>
    </row>
    <row r="94" spans="2:13" x14ac:dyDescent="0.25">
      <c r="B94" s="167" t="s">
        <v>181</v>
      </c>
      <c r="C94" s="20" t="s">
        <v>319</v>
      </c>
      <c r="D94" s="21">
        <f>(4*D30)+(4*D242)+(4*D241)</f>
        <v>2.56</v>
      </c>
      <c r="E94" s="161">
        <v>0</v>
      </c>
      <c r="F94" s="11">
        <f>D94*(1-Cennik[[#This Row],[RABAT]])*(1-$C$324)</f>
        <v>2.56</v>
      </c>
      <c r="G94" s="85"/>
      <c r="H94" s="57">
        <f t="shared" si="5"/>
        <v>0</v>
      </c>
      <c r="I94" s="166">
        <f t="shared" si="6"/>
        <v>11.264000000000001</v>
      </c>
      <c r="K94" s="175">
        <v>0.38400000000000001</v>
      </c>
      <c r="L94" s="176">
        <f t="shared" si="4"/>
        <v>0</v>
      </c>
      <c r="M94" s="7"/>
    </row>
    <row r="95" spans="2:13" x14ac:dyDescent="0.25">
      <c r="B95" s="167" t="s">
        <v>181</v>
      </c>
      <c r="C95" s="20" t="s">
        <v>320</v>
      </c>
      <c r="D95" s="21">
        <f>(2*D36)+D242+D241</f>
        <v>1.05</v>
      </c>
      <c r="E95" s="161">
        <v>0</v>
      </c>
      <c r="F95" s="11">
        <f>D95*(1-Cennik[[#This Row],[RABAT]])*(1-$C$324)</f>
        <v>1.05</v>
      </c>
      <c r="G95" s="85"/>
      <c r="H95" s="57">
        <f t="shared" si="5"/>
        <v>0</v>
      </c>
      <c r="I95" s="166">
        <f t="shared" si="6"/>
        <v>4.620000000000001</v>
      </c>
      <c r="K95" s="175">
        <v>0.104</v>
      </c>
      <c r="L95" s="176">
        <f t="shared" si="4"/>
        <v>0</v>
      </c>
      <c r="M95" s="7"/>
    </row>
    <row r="96" spans="2:13" x14ac:dyDescent="0.25">
      <c r="B96" s="167" t="s">
        <v>181</v>
      </c>
      <c r="C96" s="20" t="s">
        <v>321</v>
      </c>
      <c r="D96" s="21">
        <f>(2*D37)+D242+D241</f>
        <v>1.4300000000000002</v>
      </c>
      <c r="E96" s="161">
        <v>0</v>
      </c>
      <c r="F96" s="11">
        <f>D96*(1-Cennik[[#This Row],[RABAT]])*(1-$C$324)</f>
        <v>1.4300000000000002</v>
      </c>
      <c r="G96" s="85"/>
      <c r="H96" s="57">
        <f t="shared" si="5"/>
        <v>0</v>
      </c>
      <c r="I96" s="166">
        <f t="shared" si="6"/>
        <v>6.2920000000000016</v>
      </c>
      <c r="K96" s="175">
        <v>0.08</v>
      </c>
      <c r="L96" s="176">
        <f t="shared" si="4"/>
        <v>0</v>
      </c>
      <c r="M96" s="7"/>
    </row>
    <row r="97" spans="2:13" x14ac:dyDescent="0.25">
      <c r="B97" s="167" t="s">
        <v>181</v>
      </c>
      <c r="C97" s="20" t="s">
        <v>322</v>
      </c>
      <c r="D97" s="21">
        <f>(2*D33)+(2*D34)+(2*D241)+(2*D242)</f>
        <v>1.7799999999999998</v>
      </c>
      <c r="E97" s="161">
        <v>0</v>
      </c>
      <c r="F97" s="11">
        <f>D97*(1-Cennik[[#This Row],[RABAT]])*(1-$C$324)</f>
        <v>1.7799999999999998</v>
      </c>
      <c r="G97" s="85"/>
      <c r="H97" s="57">
        <f t="shared" si="5"/>
        <v>0</v>
      </c>
      <c r="I97" s="166">
        <f t="shared" si="6"/>
        <v>7.8319999999999999</v>
      </c>
      <c r="K97" s="175">
        <v>0.19600000000000001</v>
      </c>
      <c r="L97" s="176">
        <f t="shared" si="4"/>
        <v>0</v>
      </c>
      <c r="M97" s="7"/>
    </row>
    <row r="98" spans="2:13" x14ac:dyDescent="0.25">
      <c r="B98" s="167" t="s">
        <v>181</v>
      </c>
      <c r="C98" s="20" t="s">
        <v>323</v>
      </c>
      <c r="D98" s="21">
        <f>(2*D34)+(2*D35)+(3*D242)+(3*D241)</f>
        <v>2.19</v>
      </c>
      <c r="E98" s="161">
        <v>0</v>
      </c>
      <c r="F98" s="11">
        <f>D98*(1-Cennik[[#This Row],[RABAT]])*(1-$C$324)</f>
        <v>2.19</v>
      </c>
      <c r="G98" s="85"/>
      <c r="H98" s="57">
        <f t="shared" si="5"/>
        <v>0</v>
      </c>
      <c r="I98" s="166">
        <f t="shared" si="6"/>
        <v>9.636000000000001</v>
      </c>
      <c r="K98" s="175">
        <v>0.108</v>
      </c>
      <c r="L98" s="176">
        <f t="shared" si="4"/>
        <v>0</v>
      </c>
      <c r="M98" s="7"/>
    </row>
    <row r="99" spans="2:13" x14ac:dyDescent="0.25">
      <c r="B99" s="167" t="s">
        <v>181</v>
      </c>
      <c r="C99" s="20" t="s">
        <v>324</v>
      </c>
      <c r="D99" s="21">
        <f>(2*D38)+D241+D242</f>
        <v>0.99</v>
      </c>
      <c r="E99" s="161">
        <v>0</v>
      </c>
      <c r="F99" s="11">
        <f>D99*(1-Cennik[[#This Row],[RABAT]])*(1-$C$324)</f>
        <v>0.99</v>
      </c>
      <c r="G99" s="85"/>
      <c r="H99" s="57">
        <f t="shared" si="5"/>
        <v>0</v>
      </c>
      <c r="I99" s="166">
        <f t="shared" si="6"/>
        <v>4.3559999999999999</v>
      </c>
      <c r="K99" s="175">
        <v>9.6000000000000002E-2</v>
      </c>
      <c r="L99" s="176">
        <f t="shared" si="4"/>
        <v>0</v>
      </c>
      <c r="M99" s="7"/>
    </row>
    <row r="100" spans="2:13" x14ac:dyDescent="0.25">
      <c r="B100" s="167" t="s">
        <v>181</v>
      </c>
      <c r="C100" s="20" t="s">
        <v>325</v>
      </c>
      <c r="D100" s="21">
        <f>(2*D39)+D241+D242</f>
        <v>2.37</v>
      </c>
      <c r="E100" s="161">
        <v>0</v>
      </c>
      <c r="F100" s="11">
        <f>D100*(1-Cennik[[#This Row],[RABAT]])*(1-$C$324)</f>
        <v>2.37</v>
      </c>
      <c r="G100" s="85"/>
      <c r="H100" s="57">
        <f t="shared" si="5"/>
        <v>0</v>
      </c>
      <c r="I100" s="166">
        <f t="shared" si="6"/>
        <v>10.428000000000001</v>
      </c>
      <c r="K100" s="175">
        <v>0.28000000000000003</v>
      </c>
      <c r="L100" s="176">
        <f t="shared" si="4"/>
        <v>0</v>
      </c>
      <c r="M100" s="7"/>
    </row>
    <row r="101" spans="2:13" x14ac:dyDescent="0.25">
      <c r="B101" s="167" t="s">
        <v>181</v>
      </c>
      <c r="C101" s="20" t="s">
        <v>326</v>
      </c>
      <c r="D101" s="21">
        <f>(2*D40)+D241+D242+D128</f>
        <v>1.5000000000000002</v>
      </c>
      <c r="E101" s="161">
        <v>0</v>
      </c>
      <c r="F101" s="11">
        <f>D101*(1-Cennik[[#This Row],[RABAT]])*(1-$C$324)</f>
        <v>1.5000000000000002</v>
      </c>
      <c r="G101" s="85"/>
      <c r="H101" s="57">
        <f t="shared" si="5"/>
        <v>0</v>
      </c>
      <c r="I101" s="166">
        <f t="shared" si="6"/>
        <v>6.6000000000000014</v>
      </c>
      <c r="K101" s="175">
        <v>0.126</v>
      </c>
      <c r="L101" s="176">
        <f t="shared" si="4"/>
        <v>0</v>
      </c>
      <c r="M101" s="7"/>
    </row>
    <row r="102" spans="2:13" x14ac:dyDescent="0.25">
      <c r="B102" s="167" t="s">
        <v>181</v>
      </c>
      <c r="C102" s="20" t="s">
        <v>327</v>
      </c>
      <c r="D102" s="21">
        <f>(2*D128)+(2*D41)+D241+D242</f>
        <v>2.0699999999999998</v>
      </c>
      <c r="E102" s="161">
        <v>0</v>
      </c>
      <c r="F102" s="11">
        <f>D102*(1-Cennik[[#This Row],[RABAT]])*(1-$C$324)</f>
        <v>2.0699999999999998</v>
      </c>
      <c r="G102" s="85"/>
      <c r="H102" s="57">
        <f t="shared" si="5"/>
        <v>0</v>
      </c>
      <c r="I102" s="166">
        <f t="shared" si="6"/>
        <v>9.1080000000000005</v>
      </c>
      <c r="K102" s="175">
        <v>0.14000000000000001</v>
      </c>
      <c r="L102" s="176">
        <f t="shared" si="4"/>
        <v>0</v>
      </c>
      <c r="M102" s="7"/>
    </row>
    <row r="103" spans="2:13" x14ac:dyDescent="0.25">
      <c r="B103" s="167" t="s">
        <v>181</v>
      </c>
      <c r="C103" s="20" t="s">
        <v>328</v>
      </c>
      <c r="D103" s="21">
        <f>(2*D42)+D128+D241+D242</f>
        <v>2</v>
      </c>
      <c r="E103" s="161">
        <v>0</v>
      </c>
      <c r="F103" s="11">
        <f>D103*(1-Cennik[[#This Row],[RABAT]])*(1-$C$324)</f>
        <v>2</v>
      </c>
      <c r="G103" s="85"/>
      <c r="H103" s="57">
        <f t="shared" si="5"/>
        <v>0</v>
      </c>
      <c r="I103" s="166">
        <f t="shared" si="6"/>
        <v>8.8000000000000007</v>
      </c>
      <c r="K103" s="175">
        <v>0.114</v>
      </c>
      <c r="L103" s="176">
        <f t="shared" si="4"/>
        <v>0</v>
      </c>
      <c r="M103" s="7"/>
    </row>
    <row r="104" spans="2:13" x14ac:dyDescent="0.25">
      <c r="B104" s="167" t="s">
        <v>181</v>
      </c>
      <c r="C104" s="20" t="s">
        <v>329</v>
      </c>
      <c r="D104" s="21">
        <f>(4*D34)+(2*D43)+(4*D241)+(4*D242)</f>
        <v>3.62</v>
      </c>
      <c r="E104" s="161">
        <v>0</v>
      </c>
      <c r="F104" s="11">
        <f>D104*(1-Cennik[[#This Row],[RABAT]])*(1-$C$324)</f>
        <v>3.62</v>
      </c>
      <c r="G104" s="85"/>
      <c r="H104" s="57">
        <f t="shared" si="5"/>
        <v>0</v>
      </c>
      <c r="I104" s="166">
        <f t="shared" si="6"/>
        <v>15.928000000000003</v>
      </c>
      <c r="K104" s="175">
        <v>0.33600000000000002</v>
      </c>
      <c r="L104" s="176">
        <f t="shared" ref="L104:L135" si="7">G104*K104</f>
        <v>0</v>
      </c>
      <c r="M104" s="7"/>
    </row>
    <row r="105" spans="2:13" x14ac:dyDescent="0.25">
      <c r="B105" s="167" t="s">
        <v>181</v>
      </c>
      <c r="C105" s="20" t="s">
        <v>330</v>
      </c>
      <c r="D105" s="21">
        <f>(2*D44)+(2*D241)+(2*D242)</f>
        <v>1.8599999999999999</v>
      </c>
      <c r="E105" s="161">
        <v>0</v>
      </c>
      <c r="F105" s="11">
        <f>D105*(1-Cennik[[#This Row],[RABAT]])*(1-$C$324)</f>
        <v>1.8599999999999999</v>
      </c>
      <c r="G105" s="85"/>
      <c r="H105" s="57">
        <f t="shared" si="5"/>
        <v>0</v>
      </c>
      <c r="I105" s="166">
        <f t="shared" si="6"/>
        <v>8.1839999999999993</v>
      </c>
      <c r="K105" s="175">
        <v>0.184</v>
      </c>
      <c r="L105" s="176">
        <f t="shared" si="7"/>
        <v>0</v>
      </c>
      <c r="M105" s="7"/>
    </row>
    <row r="106" spans="2:13" x14ac:dyDescent="0.25">
      <c r="B106" s="167" t="s">
        <v>181</v>
      </c>
      <c r="C106" s="20" t="s">
        <v>331</v>
      </c>
      <c r="D106" s="21">
        <f>(2*D45)+D241+D242</f>
        <v>1.7100000000000002</v>
      </c>
      <c r="E106" s="161">
        <v>0</v>
      </c>
      <c r="F106" s="11">
        <f>D106*(1-Cennik[[#This Row],[RABAT]])*(1-$C$324)</f>
        <v>1.7100000000000002</v>
      </c>
      <c r="G106" s="85"/>
      <c r="H106" s="57">
        <f t="shared" si="5"/>
        <v>0</v>
      </c>
      <c r="I106" s="166">
        <f t="shared" si="6"/>
        <v>7.5240000000000018</v>
      </c>
      <c r="K106" s="175">
        <v>0.156</v>
      </c>
      <c r="L106" s="176">
        <f t="shared" si="7"/>
        <v>0</v>
      </c>
      <c r="M106" s="7"/>
    </row>
    <row r="107" spans="2:13" x14ac:dyDescent="0.25">
      <c r="B107" s="167" t="s">
        <v>181</v>
      </c>
      <c r="C107" s="20" t="s">
        <v>332</v>
      </c>
      <c r="D107" s="21">
        <f>D46+D47+D240</f>
        <v>0.89000000000000012</v>
      </c>
      <c r="E107" s="161">
        <v>0</v>
      </c>
      <c r="F107" s="11">
        <f>D107*(1-Cennik[[#This Row],[RABAT]])*(1-$C$324)</f>
        <v>0.89000000000000012</v>
      </c>
      <c r="G107" s="85"/>
      <c r="H107" s="57">
        <f t="shared" si="5"/>
        <v>0</v>
      </c>
      <c r="I107" s="166">
        <f t="shared" si="6"/>
        <v>3.9160000000000008</v>
      </c>
      <c r="K107" s="175">
        <v>8.2000000000000003E-2</v>
      </c>
      <c r="L107" s="176">
        <f t="shared" si="7"/>
        <v>0</v>
      </c>
      <c r="M107" s="7"/>
    </row>
    <row r="108" spans="2:13" x14ac:dyDescent="0.25">
      <c r="B108" s="167" t="s">
        <v>181</v>
      </c>
      <c r="C108" s="20" t="s">
        <v>333</v>
      </c>
      <c r="D108" s="21">
        <f>(2*D48)</f>
        <v>1.36</v>
      </c>
      <c r="E108" s="161">
        <v>0</v>
      </c>
      <c r="F108" s="11">
        <f>D108*(1-Cennik[[#This Row],[RABAT]])*(1-$C$324)</f>
        <v>1.36</v>
      </c>
      <c r="G108" s="85"/>
      <c r="H108" s="57">
        <f t="shared" si="5"/>
        <v>0</v>
      </c>
      <c r="I108" s="166">
        <f t="shared" si="6"/>
        <v>5.9840000000000009</v>
      </c>
      <c r="K108" s="175">
        <v>0.1</v>
      </c>
      <c r="L108" s="176">
        <f t="shared" si="7"/>
        <v>0</v>
      </c>
      <c r="M108" s="7"/>
    </row>
    <row r="109" spans="2:13" x14ac:dyDescent="0.25">
      <c r="B109" s="167" t="s">
        <v>181</v>
      </c>
      <c r="C109" s="20" t="s">
        <v>334</v>
      </c>
      <c r="D109" s="21">
        <f>(2*D50)+D242+D241</f>
        <v>1.35</v>
      </c>
      <c r="E109" s="161">
        <v>0</v>
      </c>
      <c r="F109" s="11">
        <f>D109*(1-Cennik[[#This Row],[RABAT]])*(1-$C$324)</f>
        <v>1.35</v>
      </c>
      <c r="G109" s="85"/>
      <c r="H109" s="57">
        <f t="shared" si="5"/>
        <v>0</v>
      </c>
      <c r="I109" s="166">
        <f t="shared" si="6"/>
        <v>5.9400000000000013</v>
      </c>
      <c r="K109" s="175">
        <v>0.13200000000000001</v>
      </c>
      <c r="L109" s="176">
        <f t="shared" si="7"/>
        <v>0</v>
      </c>
      <c r="M109" s="7"/>
    </row>
    <row r="110" spans="2:13" x14ac:dyDescent="0.25">
      <c r="B110" s="167" t="s">
        <v>181</v>
      </c>
      <c r="C110" s="20" t="s">
        <v>335</v>
      </c>
      <c r="D110" s="21">
        <f>(2*D51)+D242+D241</f>
        <v>1.4500000000000002</v>
      </c>
      <c r="E110" s="161">
        <v>0</v>
      </c>
      <c r="F110" s="11">
        <f>D110*(1-Cennik[[#This Row],[RABAT]])*(1-$C$324)</f>
        <v>1.4500000000000002</v>
      </c>
      <c r="G110" s="85"/>
      <c r="H110" s="57">
        <f t="shared" si="5"/>
        <v>0</v>
      </c>
      <c r="I110" s="166">
        <f t="shared" si="6"/>
        <v>6.3800000000000017</v>
      </c>
      <c r="K110" s="175">
        <v>0.13200000000000001</v>
      </c>
      <c r="L110" s="176">
        <f t="shared" si="7"/>
        <v>0</v>
      </c>
      <c r="M110" s="7"/>
    </row>
    <row r="111" spans="2:13" x14ac:dyDescent="0.25">
      <c r="B111" s="167" t="s">
        <v>181</v>
      </c>
      <c r="C111" s="20" t="s">
        <v>336</v>
      </c>
      <c r="D111" s="21">
        <f>(2*D52)+D242+D241</f>
        <v>1.35</v>
      </c>
      <c r="E111" s="161">
        <v>0</v>
      </c>
      <c r="F111" s="11">
        <f>D111*(1-Cennik[[#This Row],[RABAT]])*(1-$C$324)</f>
        <v>1.35</v>
      </c>
      <c r="G111" s="85"/>
      <c r="H111" s="57">
        <f t="shared" si="5"/>
        <v>0</v>
      </c>
      <c r="I111" s="166">
        <f t="shared" si="6"/>
        <v>5.9400000000000013</v>
      </c>
      <c r="K111" s="175">
        <v>0.124</v>
      </c>
      <c r="L111" s="176">
        <f t="shared" si="7"/>
        <v>0</v>
      </c>
      <c r="M111" s="7"/>
    </row>
    <row r="112" spans="2:13" x14ac:dyDescent="0.25">
      <c r="B112" s="167" t="s">
        <v>181</v>
      </c>
      <c r="C112" s="20" t="s">
        <v>337</v>
      </c>
      <c r="D112" s="21">
        <f>(2*D53)+D128+D242+D241</f>
        <v>1.9800000000000002</v>
      </c>
      <c r="E112" s="161">
        <v>0</v>
      </c>
      <c r="F112" s="11">
        <f>D112*(1-Cennik[[#This Row],[RABAT]])*(1-$C$324)</f>
        <v>1.9800000000000002</v>
      </c>
      <c r="G112" s="85"/>
      <c r="H112" s="57">
        <f t="shared" si="5"/>
        <v>0</v>
      </c>
      <c r="I112" s="166">
        <f t="shared" si="6"/>
        <v>8.7120000000000015</v>
      </c>
      <c r="K112" s="175">
        <v>0.19400000000000001</v>
      </c>
      <c r="L112" s="176">
        <f t="shared" si="7"/>
        <v>0</v>
      </c>
      <c r="M112" s="7"/>
    </row>
    <row r="113" spans="2:13" x14ac:dyDescent="0.25">
      <c r="B113" s="167" t="s">
        <v>181</v>
      </c>
      <c r="C113" s="20" t="s">
        <v>338</v>
      </c>
      <c r="D113" s="21">
        <f>(2*D54)+(2*D242)+(2*D241)</f>
        <v>2.14</v>
      </c>
      <c r="E113" s="161">
        <v>0</v>
      </c>
      <c r="F113" s="11">
        <f>D113*(1-Cennik[[#This Row],[RABAT]])*(1-$C$324)</f>
        <v>2.14</v>
      </c>
      <c r="G113" s="85"/>
      <c r="H113" s="57">
        <f t="shared" si="5"/>
        <v>0</v>
      </c>
      <c r="I113" s="166">
        <f t="shared" si="6"/>
        <v>9.4160000000000021</v>
      </c>
      <c r="K113" s="175">
        <v>0.2</v>
      </c>
      <c r="L113" s="176">
        <f t="shared" si="7"/>
        <v>0</v>
      </c>
      <c r="M113" s="7"/>
    </row>
    <row r="114" spans="2:13" x14ac:dyDescent="0.25">
      <c r="B114" s="167" t="s">
        <v>181</v>
      </c>
      <c r="C114" s="20" t="s">
        <v>339</v>
      </c>
      <c r="D114" s="21">
        <f>D55+D56+D242+D241</f>
        <v>1.33</v>
      </c>
      <c r="E114" s="161">
        <v>0</v>
      </c>
      <c r="F114" s="11">
        <f>D114*(1-Cennik[[#This Row],[RABAT]])*(1-$C$324)</f>
        <v>1.33</v>
      </c>
      <c r="G114" s="85"/>
      <c r="H114" s="57">
        <f t="shared" si="5"/>
        <v>0</v>
      </c>
      <c r="I114" s="166">
        <f t="shared" si="6"/>
        <v>5.8520000000000012</v>
      </c>
      <c r="K114" s="175">
        <v>0.12</v>
      </c>
      <c r="L114" s="176">
        <f t="shared" si="7"/>
        <v>0</v>
      </c>
      <c r="M114" s="7"/>
    </row>
    <row r="115" spans="2:13" x14ac:dyDescent="0.25">
      <c r="B115" s="167" t="s">
        <v>181</v>
      </c>
      <c r="C115" s="20" t="s">
        <v>340</v>
      </c>
      <c r="D115" s="21">
        <f>(2*D57)+(2*D242)+(2*D241)</f>
        <v>2.2000000000000002</v>
      </c>
      <c r="E115" s="161">
        <v>0</v>
      </c>
      <c r="F115" s="11">
        <f>D115*(1-Cennik[[#This Row],[RABAT]])*(1-$C$324)</f>
        <v>2.2000000000000002</v>
      </c>
      <c r="G115" s="85"/>
      <c r="H115" s="57">
        <f t="shared" si="5"/>
        <v>0</v>
      </c>
      <c r="I115" s="166">
        <f t="shared" si="6"/>
        <v>9.6800000000000015</v>
      </c>
      <c r="K115" s="175">
        <v>0.2</v>
      </c>
      <c r="L115" s="176">
        <f t="shared" si="7"/>
        <v>0</v>
      </c>
      <c r="M115" s="7"/>
    </row>
    <row r="116" spans="2:13" x14ac:dyDescent="0.25">
      <c r="B116" s="167" t="s">
        <v>181</v>
      </c>
      <c r="C116" s="20" t="s">
        <v>341</v>
      </c>
      <c r="D116" s="21">
        <f>(2*D58)+(2*D242)+(2*D241)</f>
        <v>2.2000000000000002</v>
      </c>
      <c r="E116" s="161">
        <v>0</v>
      </c>
      <c r="F116" s="11">
        <f>D116*(1-Cennik[[#This Row],[RABAT]])*(1-$C$324)</f>
        <v>2.2000000000000002</v>
      </c>
      <c r="G116" s="85"/>
      <c r="H116" s="57">
        <f t="shared" si="5"/>
        <v>0</v>
      </c>
      <c r="I116" s="166">
        <f t="shared" si="6"/>
        <v>9.6800000000000015</v>
      </c>
      <c r="K116" s="175">
        <v>0.2</v>
      </c>
      <c r="L116" s="176">
        <f t="shared" si="7"/>
        <v>0</v>
      </c>
      <c r="M116" s="7"/>
    </row>
    <row r="117" spans="2:13" x14ac:dyDescent="0.25">
      <c r="B117" s="75" t="s">
        <v>182</v>
      </c>
      <c r="C117" s="76" t="s">
        <v>44</v>
      </c>
      <c r="D117" s="77">
        <v>1.02</v>
      </c>
      <c r="E117" s="161">
        <v>0</v>
      </c>
      <c r="F117" s="11">
        <f>D117*(1-Cennik[[#This Row],[RABAT]])*(1-$C$324)</f>
        <v>1.02</v>
      </c>
      <c r="G117" s="85"/>
      <c r="H117" s="57">
        <f t="shared" si="5"/>
        <v>0</v>
      </c>
      <c r="I117" s="166">
        <f t="shared" si="6"/>
        <v>4.4880000000000004</v>
      </c>
      <c r="K117" s="175">
        <v>4.8000000000000001E-2</v>
      </c>
      <c r="L117" s="176">
        <f t="shared" si="7"/>
        <v>0</v>
      </c>
      <c r="M117" s="7"/>
    </row>
    <row r="118" spans="2:13" x14ac:dyDescent="0.25">
      <c r="B118" s="78" t="s">
        <v>182</v>
      </c>
      <c r="C118" s="59" t="s">
        <v>45</v>
      </c>
      <c r="D118" s="79">
        <v>1.02</v>
      </c>
      <c r="E118" s="161">
        <v>0</v>
      </c>
      <c r="F118" s="11">
        <f>D118*(1-Cennik[[#This Row],[RABAT]])*(1-$C$324)</f>
        <v>1.02</v>
      </c>
      <c r="G118" s="85"/>
      <c r="H118" s="57">
        <f t="shared" si="5"/>
        <v>0</v>
      </c>
      <c r="I118" s="166">
        <f t="shared" si="6"/>
        <v>4.4880000000000004</v>
      </c>
      <c r="K118" s="175">
        <v>4.5999999999999999E-2</v>
      </c>
      <c r="L118" s="176">
        <f t="shared" si="7"/>
        <v>0</v>
      </c>
      <c r="M118" s="7"/>
    </row>
    <row r="119" spans="2:13" x14ac:dyDescent="0.25">
      <c r="B119" s="78" t="s">
        <v>182</v>
      </c>
      <c r="C119" s="59" t="s">
        <v>46</v>
      </c>
      <c r="D119" s="79">
        <v>0.94</v>
      </c>
      <c r="E119" s="161">
        <v>0</v>
      </c>
      <c r="F119" s="11">
        <f>D119*(1-Cennik[[#This Row],[RABAT]])*(1-$C$324)</f>
        <v>0.94</v>
      </c>
      <c r="G119" s="85"/>
      <c r="H119" s="57">
        <f t="shared" si="5"/>
        <v>0</v>
      </c>
      <c r="I119" s="166">
        <f t="shared" si="6"/>
        <v>4.1360000000000001</v>
      </c>
      <c r="K119" s="175">
        <v>3.4000000000000002E-2</v>
      </c>
      <c r="L119" s="176">
        <f t="shared" si="7"/>
        <v>0</v>
      </c>
      <c r="M119" s="7"/>
    </row>
    <row r="120" spans="2:13" x14ac:dyDescent="0.25">
      <c r="B120" s="78" t="s">
        <v>182</v>
      </c>
      <c r="C120" s="59" t="s">
        <v>47</v>
      </c>
      <c r="D120" s="79">
        <v>0.15</v>
      </c>
      <c r="E120" s="161">
        <v>0</v>
      </c>
      <c r="F120" s="11">
        <f>D120*(1-Cennik[[#This Row],[RABAT]])*(1-$C$324)</f>
        <v>0.15</v>
      </c>
      <c r="G120" s="85"/>
      <c r="H120" s="57">
        <f t="shared" si="5"/>
        <v>0</v>
      </c>
      <c r="I120" s="166">
        <f t="shared" si="6"/>
        <v>0.66</v>
      </c>
      <c r="K120" s="175">
        <v>4.0000000000000001E-3</v>
      </c>
      <c r="L120" s="176">
        <f t="shared" si="7"/>
        <v>0</v>
      </c>
      <c r="M120" s="7"/>
    </row>
    <row r="121" spans="2:13" x14ac:dyDescent="0.25">
      <c r="B121" s="78" t="s">
        <v>182</v>
      </c>
      <c r="C121" s="59" t="s">
        <v>48</v>
      </c>
      <c r="D121" s="79">
        <v>0.54</v>
      </c>
      <c r="E121" s="161">
        <v>0</v>
      </c>
      <c r="F121" s="11">
        <f>D121*(1-Cennik[[#This Row],[RABAT]])*(1-$C$324)</f>
        <v>0.54</v>
      </c>
      <c r="G121" s="85"/>
      <c r="H121" s="57">
        <f t="shared" si="5"/>
        <v>0</v>
      </c>
      <c r="I121" s="166">
        <f t="shared" si="6"/>
        <v>2.3760000000000003</v>
      </c>
      <c r="K121" s="175">
        <v>1.2E-2</v>
      </c>
      <c r="L121" s="176">
        <f t="shared" si="7"/>
        <v>0</v>
      </c>
      <c r="M121" s="7"/>
    </row>
    <row r="122" spans="2:13" x14ac:dyDescent="0.25">
      <c r="B122" s="78" t="s">
        <v>182</v>
      </c>
      <c r="C122" s="59" t="s">
        <v>49</v>
      </c>
      <c r="D122" s="79">
        <v>0.54</v>
      </c>
      <c r="E122" s="161">
        <v>0</v>
      </c>
      <c r="F122" s="11">
        <f>D122*(1-Cennik[[#This Row],[RABAT]])*(1-$C$324)</f>
        <v>0.54</v>
      </c>
      <c r="G122" s="85"/>
      <c r="H122" s="57">
        <f t="shared" si="5"/>
        <v>0</v>
      </c>
      <c r="I122" s="166">
        <f t="shared" si="6"/>
        <v>2.3760000000000003</v>
      </c>
      <c r="K122" s="175">
        <v>2.1000000000000001E-2</v>
      </c>
      <c r="L122" s="176">
        <f t="shared" si="7"/>
        <v>0</v>
      </c>
      <c r="M122" s="7"/>
    </row>
    <row r="123" spans="2:13" x14ac:dyDescent="0.25">
      <c r="B123" s="78" t="s">
        <v>182</v>
      </c>
      <c r="C123" s="59" t="s">
        <v>50</v>
      </c>
      <c r="D123" s="79">
        <v>0.65</v>
      </c>
      <c r="E123" s="161">
        <v>0</v>
      </c>
      <c r="F123" s="11">
        <f>D123*(1-Cennik[[#This Row],[RABAT]])*(1-$C$324)</f>
        <v>0.65</v>
      </c>
      <c r="G123" s="85"/>
      <c r="H123" s="57">
        <f t="shared" si="5"/>
        <v>0</v>
      </c>
      <c r="I123" s="166">
        <f t="shared" si="6"/>
        <v>2.8600000000000003</v>
      </c>
      <c r="K123" s="175">
        <v>0.03</v>
      </c>
      <c r="L123" s="176">
        <f t="shared" si="7"/>
        <v>0</v>
      </c>
      <c r="M123" s="7"/>
    </row>
    <row r="124" spans="2:13" x14ac:dyDescent="0.25">
      <c r="B124" s="78" t="s">
        <v>182</v>
      </c>
      <c r="C124" s="59" t="s">
        <v>51</v>
      </c>
      <c r="D124" s="79">
        <v>1.2</v>
      </c>
      <c r="E124" s="161">
        <v>0</v>
      </c>
      <c r="F124" s="11">
        <f>D124*(1-Cennik[[#This Row],[RABAT]])*(1-$C$324)</f>
        <v>1.2</v>
      </c>
      <c r="G124" s="85"/>
      <c r="H124" s="57">
        <f t="shared" si="5"/>
        <v>0</v>
      </c>
      <c r="I124" s="166">
        <f t="shared" si="6"/>
        <v>5.28</v>
      </c>
      <c r="K124" s="175"/>
      <c r="L124" s="176">
        <f t="shared" si="7"/>
        <v>0</v>
      </c>
      <c r="M124" s="7"/>
    </row>
    <row r="125" spans="2:13" x14ac:dyDescent="0.25">
      <c r="B125" s="78" t="s">
        <v>182</v>
      </c>
      <c r="C125" s="59" t="s">
        <v>52</v>
      </c>
      <c r="D125" s="79">
        <v>0.11</v>
      </c>
      <c r="E125" s="161">
        <v>0</v>
      </c>
      <c r="F125" s="11">
        <f>D125*(1-Cennik[[#This Row],[RABAT]])*(1-$C$324)</f>
        <v>0.11</v>
      </c>
      <c r="G125" s="85"/>
      <c r="H125" s="57">
        <f t="shared" si="5"/>
        <v>0</v>
      </c>
      <c r="I125" s="166">
        <f t="shared" si="6"/>
        <v>0.48400000000000004</v>
      </c>
      <c r="K125" s="175">
        <v>5.0000000000000001E-3</v>
      </c>
      <c r="L125" s="176">
        <f t="shared" si="7"/>
        <v>0</v>
      </c>
      <c r="M125" s="7"/>
    </row>
    <row r="126" spans="2:13" x14ac:dyDescent="0.25">
      <c r="B126" s="78" t="s">
        <v>182</v>
      </c>
      <c r="C126" s="59" t="s">
        <v>53</v>
      </c>
      <c r="D126" s="79">
        <v>0.11</v>
      </c>
      <c r="E126" s="161">
        <v>0</v>
      </c>
      <c r="F126" s="11">
        <f>D126*(1-Cennik[[#This Row],[RABAT]])*(1-$C$324)</f>
        <v>0.11</v>
      </c>
      <c r="G126" s="85"/>
      <c r="H126" s="57">
        <f t="shared" si="5"/>
        <v>0</v>
      </c>
      <c r="I126" s="166">
        <f t="shared" si="6"/>
        <v>0.48400000000000004</v>
      </c>
      <c r="K126" s="175">
        <v>4.0000000000000001E-3</v>
      </c>
      <c r="L126" s="176">
        <f t="shared" si="7"/>
        <v>0</v>
      </c>
      <c r="M126" s="7"/>
    </row>
    <row r="127" spans="2:13" x14ac:dyDescent="0.25">
      <c r="B127" s="78" t="s">
        <v>182</v>
      </c>
      <c r="C127" s="59" t="s">
        <v>54</v>
      </c>
      <c r="D127" s="79">
        <v>0.11</v>
      </c>
      <c r="E127" s="161">
        <v>0</v>
      </c>
      <c r="F127" s="11">
        <f>D127*(1-Cennik[[#This Row],[RABAT]])*(1-$C$324)</f>
        <v>0.11</v>
      </c>
      <c r="G127" s="85"/>
      <c r="H127" s="57">
        <f t="shared" si="5"/>
        <v>0</v>
      </c>
      <c r="I127" s="166">
        <f t="shared" si="6"/>
        <v>0.48400000000000004</v>
      </c>
      <c r="K127" s="175">
        <v>4.0000000000000001E-3</v>
      </c>
      <c r="L127" s="176">
        <f t="shared" si="7"/>
        <v>0</v>
      </c>
      <c r="M127" s="7"/>
    </row>
    <row r="128" spans="2:13" x14ac:dyDescent="0.25">
      <c r="B128" s="78" t="s">
        <v>182</v>
      </c>
      <c r="C128" s="59" t="s">
        <v>55</v>
      </c>
      <c r="D128" s="79">
        <v>0.28999999999999998</v>
      </c>
      <c r="E128" s="161">
        <v>0</v>
      </c>
      <c r="F128" s="11">
        <f>D128*(1-Cennik[[#This Row],[RABAT]])*(1-$C$324)</f>
        <v>0.28999999999999998</v>
      </c>
      <c r="G128" s="85"/>
      <c r="H128" s="57">
        <f t="shared" si="5"/>
        <v>0</v>
      </c>
      <c r="I128" s="166">
        <f t="shared" si="6"/>
        <v>1.276</v>
      </c>
      <c r="K128" s="175">
        <v>6.0000000000000001E-3</v>
      </c>
      <c r="L128" s="176">
        <f t="shared" si="7"/>
        <v>0</v>
      </c>
      <c r="M128" s="7"/>
    </row>
    <row r="129" spans="2:13" x14ac:dyDescent="0.25">
      <c r="B129" s="78" t="s">
        <v>182</v>
      </c>
      <c r="C129" s="59" t="s">
        <v>56</v>
      </c>
      <c r="D129" s="79">
        <v>0.64</v>
      </c>
      <c r="E129" s="161">
        <v>0</v>
      </c>
      <c r="F129" s="11">
        <f>D129*(1-Cennik[[#This Row],[RABAT]])*(1-$C$324)</f>
        <v>0.64</v>
      </c>
      <c r="G129" s="85"/>
      <c r="H129" s="57">
        <f t="shared" si="5"/>
        <v>0</v>
      </c>
      <c r="I129" s="166">
        <f t="shared" si="6"/>
        <v>2.8160000000000003</v>
      </c>
      <c r="K129" s="175">
        <v>6.0000000000000001E-3</v>
      </c>
      <c r="L129" s="176">
        <f t="shared" si="7"/>
        <v>0</v>
      </c>
      <c r="M129" s="7"/>
    </row>
    <row r="130" spans="2:13" x14ac:dyDescent="0.25">
      <c r="B130" s="78" t="s">
        <v>182</v>
      </c>
      <c r="C130" s="59" t="s">
        <v>57</v>
      </c>
      <c r="D130" s="79">
        <v>0.28999999999999998</v>
      </c>
      <c r="E130" s="161">
        <v>0</v>
      </c>
      <c r="F130" s="11">
        <f>D130*(1-Cennik[[#This Row],[RABAT]])*(1-$C$324)</f>
        <v>0.28999999999999998</v>
      </c>
      <c r="G130" s="85"/>
      <c r="H130" s="57">
        <f t="shared" si="5"/>
        <v>0</v>
      </c>
      <c r="I130" s="166">
        <f t="shared" si="6"/>
        <v>1.276</v>
      </c>
      <c r="K130" s="175">
        <v>1.4E-2</v>
      </c>
      <c r="L130" s="176">
        <f t="shared" si="7"/>
        <v>0</v>
      </c>
      <c r="M130" s="7"/>
    </row>
    <row r="131" spans="2:13" x14ac:dyDescent="0.25">
      <c r="B131" s="78" t="s">
        <v>182</v>
      </c>
      <c r="C131" s="59" t="s">
        <v>58</v>
      </c>
      <c r="D131" s="79">
        <v>0.16</v>
      </c>
      <c r="E131" s="161">
        <v>0</v>
      </c>
      <c r="F131" s="11">
        <f>D131*(1-Cennik[[#This Row],[RABAT]])*(1-$C$324)</f>
        <v>0.16</v>
      </c>
      <c r="G131" s="85"/>
      <c r="H131" s="57">
        <f t="shared" si="5"/>
        <v>0</v>
      </c>
      <c r="I131" s="166">
        <f t="shared" si="6"/>
        <v>0.70400000000000007</v>
      </c>
      <c r="K131" s="175">
        <v>7.0000000000000001E-3</v>
      </c>
      <c r="L131" s="176">
        <f t="shared" si="7"/>
        <v>0</v>
      </c>
      <c r="M131" s="7"/>
    </row>
    <row r="132" spans="2:13" x14ac:dyDescent="0.25">
      <c r="B132" s="78" t="s">
        <v>182</v>
      </c>
      <c r="C132" s="59" t="s">
        <v>59</v>
      </c>
      <c r="D132" s="79">
        <v>0.59</v>
      </c>
      <c r="E132" s="161">
        <v>0</v>
      </c>
      <c r="F132" s="11">
        <f>D132*(1-Cennik[[#This Row],[RABAT]])*(1-$C$324)</f>
        <v>0.59</v>
      </c>
      <c r="G132" s="85"/>
      <c r="H132" s="57">
        <f t="shared" si="5"/>
        <v>0</v>
      </c>
      <c r="I132" s="166">
        <f t="shared" si="6"/>
        <v>2.5960000000000001</v>
      </c>
      <c r="K132" s="175">
        <v>1.7999999999999999E-2</v>
      </c>
      <c r="L132" s="176">
        <f t="shared" si="7"/>
        <v>0</v>
      </c>
      <c r="M132" s="7"/>
    </row>
    <row r="133" spans="2:13" x14ac:dyDescent="0.25">
      <c r="B133" s="78" t="s">
        <v>182</v>
      </c>
      <c r="C133" s="59" t="s">
        <v>60</v>
      </c>
      <c r="D133" s="79">
        <v>0.78</v>
      </c>
      <c r="E133" s="161">
        <v>0</v>
      </c>
      <c r="F133" s="11">
        <f>D133*(1-Cennik[[#This Row],[RABAT]])*(1-$C$324)</f>
        <v>0.78</v>
      </c>
      <c r="G133" s="85"/>
      <c r="H133" s="57">
        <f t="shared" si="5"/>
        <v>0</v>
      </c>
      <c r="I133" s="166">
        <f t="shared" si="6"/>
        <v>3.4320000000000004</v>
      </c>
      <c r="K133" s="175">
        <v>1.4E-2</v>
      </c>
      <c r="L133" s="176">
        <f t="shared" si="7"/>
        <v>0</v>
      </c>
      <c r="M133" s="7"/>
    </row>
    <row r="134" spans="2:13" x14ac:dyDescent="0.25">
      <c r="B134" s="78" t="s">
        <v>182</v>
      </c>
      <c r="C134" s="59" t="s">
        <v>61</v>
      </c>
      <c r="D134" s="79">
        <v>0.57999999999999996</v>
      </c>
      <c r="E134" s="161">
        <v>0</v>
      </c>
      <c r="F134" s="11">
        <f>D134*(1-Cennik[[#This Row],[RABAT]])*(1-$C$324)</f>
        <v>0.57999999999999996</v>
      </c>
      <c r="G134" s="85"/>
      <c r="H134" s="57">
        <f t="shared" si="5"/>
        <v>0</v>
      </c>
      <c r="I134" s="166">
        <f t="shared" si="6"/>
        <v>2.552</v>
      </c>
      <c r="K134" s="175">
        <v>8.0000000000000002E-3</v>
      </c>
      <c r="L134" s="176">
        <f t="shared" si="7"/>
        <v>0</v>
      </c>
      <c r="M134" s="7"/>
    </row>
    <row r="135" spans="2:13" x14ac:dyDescent="0.25">
      <c r="B135" s="62" t="s">
        <v>182</v>
      </c>
      <c r="C135" s="80" t="s">
        <v>373</v>
      </c>
      <c r="D135" s="81">
        <v>0.67</v>
      </c>
      <c r="E135" s="161">
        <v>0</v>
      </c>
      <c r="F135" s="11">
        <f>D135*(1-Cennik[[#This Row],[RABAT]])*(1-$C$324)</f>
        <v>0.67</v>
      </c>
      <c r="G135" s="85"/>
      <c r="H135" s="57">
        <f t="shared" si="5"/>
        <v>0</v>
      </c>
      <c r="I135" s="166">
        <f t="shared" si="6"/>
        <v>2.9480000000000004</v>
      </c>
      <c r="K135" s="175">
        <v>1.6E-2</v>
      </c>
      <c r="L135" s="176">
        <f t="shared" si="7"/>
        <v>0</v>
      </c>
      <c r="M135" s="7"/>
    </row>
    <row r="136" spans="2:13" x14ac:dyDescent="0.25">
      <c r="B136" s="6" t="s">
        <v>183</v>
      </c>
      <c r="C136" s="4" t="s">
        <v>62</v>
      </c>
      <c r="D136" s="82">
        <v>1.2</v>
      </c>
      <c r="E136" s="161">
        <v>0</v>
      </c>
      <c r="F136" s="11">
        <f>D136*(1-Cennik[[#This Row],[RABAT]])*(1-$C$324)</f>
        <v>1.2</v>
      </c>
      <c r="G136" s="85"/>
      <c r="H136" s="57">
        <f t="shared" si="5"/>
        <v>0</v>
      </c>
      <c r="I136" s="166">
        <f t="shared" si="6"/>
        <v>5.28</v>
      </c>
      <c r="K136" s="175">
        <v>0.13</v>
      </c>
      <c r="L136" s="176">
        <f t="shared" ref="L136:L140" si="8">G136*K136</f>
        <v>0</v>
      </c>
      <c r="M136" s="7"/>
    </row>
    <row r="137" spans="2:13" x14ac:dyDescent="0.25">
      <c r="B137" s="6" t="s">
        <v>183</v>
      </c>
      <c r="C137" s="4" t="s">
        <v>63</v>
      </c>
      <c r="D137" s="82">
        <v>1.37</v>
      </c>
      <c r="E137" s="161">
        <v>0</v>
      </c>
      <c r="F137" s="11">
        <f>D137*(1-Cennik[[#This Row],[RABAT]])*(1-$C$324)</f>
        <v>1.37</v>
      </c>
      <c r="G137" s="85"/>
      <c r="H137" s="57">
        <f t="shared" ref="H137:H200" si="9">G137*F137</f>
        <v>0</v>
      </c>
      <c r="I137" s="166">
        <f t="shared" ref="I137:I200" si="10">$C$323*F137</f>
        <v>6.0280000000000014</v>
      </c>
      <c r="K137" s="175">
        <v>1.54E-2</v>
      </c>
      <c r="L137" s="176">
        <f t="shared" si="8"/>
        <v>0</v>
      </c>
      <c r="M137" s="7"/>
    </row>
    <row r="138" spans="2:13" x14ac:dyDescent="0.25">
      <c r="B138" s="6" t="s">
        <v>183</v>
      </c>
      <c r="C138" s="4" t="s">
        <v>64</v>
      </c>
      <c r="D138" s="82">
        <v>0.94</v>
      </c>
      <c r="E138" s="161">
        <v>0</v>
      </c>
      <c r="F138" s="11">
        <f>D138*(1-Cennik[[#This Row],[RABAT]])*(1-$C$324)</f>
        <v>0.94</v>
      </c>
      <c r="G138" s="85"/>
      <c r="H138" s="57">
        <f t="shared" si="9"/>
        <v>0</v>
      </c>
      <c r="I138" s="166">
        <f t="shared" si="10"/>
        <v>4.1360000000000001</v>
      </c>
      <c r="K138" s="175">
        <v>0.12</v>
      </c>
      <c r="L138" s="176">
        <f t="shared" si="8"/>
        <v>0</v>
      </c>
      <c r="M138" s="7"/>
    </row>
    <row r="139" spans="2:13" x14ac:dyDescent="0.25">
      <c r="B139" s="6" t="s">
        <v>183</v>
      </c>
      <c r="C139" s="4" t="s">
        <v>65</v>
      </c>
      <c r="D139" s="82">
        <v>1.4</v>
      </c>
      <c r="E139" s="161">
        <v>0</v>
      </c>
      <c r="F139" s="11">
        <f>D139*(1-Cennik[[#This Row],[RABAT]])*(1-$C$324)</f>
        <v>1.4</v>
      </c>
      <c r="G139" s="85"/>
      <c r="H139" s="57">
        <f t="shared" si="9"/>
        <v>0</v>
      </c>
      <c r="I139" s="166">
        <f t="shared" si="10"/>
        <v>6.16</v>
      </c>
      <c r="K139" s="175">
        <v>0.17399999999999999</v>
      </c>
      <c r="L139" s="176">
        <f t="shared" si="8"/>
        <v>0</v>
      </c>
      <c r="M139" s="7"/>
    </row>
    <row r="140" spans="2:13" x14ac:dyDescent="0.25">
      <c r="B140" s="6" t="s">
        <v>183</v>
      </c>
      <c r="C140" s="4" t="s">
        <v>374</v>
      </c>
      <c r="D140" s="82">
        <v>0.65</v>
      </c>
      <c r="E140" s="161">
        <v>0</v>
      </c>
      <c r="F140" s="11">
        <f>D140*(1-Cennik[[#This Row],[RABAT]])*(1-$C$324)</f>
        <v>0.65</v>
      </c>
      <c r="G140" s="85"/>
      <c r="H140" s="57">
        <f t="shared" si="9"/>
        <v>0</v>
      </c>
      <c r="I140" s="166">
        <f t="shared" si="10"/>
        <v>2.8600000000000003</v>
      </c>
      <c r="K140" s="175">
        <v>4.5999999999999999E-2</v>
      </c>
      <c r="L140" s="176">
        <f t="shared" si="8"/>
        <v>0</v>
      </c>
      <c r="M140" s="7"/>
    </row>
    <row r="141" spans="2:13" x14ac:dyDescent="0.25">
      <c r="B141" s="6" t="s">
        <v>183</v>
      </c>
      <c r="C141" s="4" t="s">
        <v>350</v>
      </c>
      <c r="D141" s="38">
        <v>2.0699999999999998</v>
      </c>
      <c r="E141" s="161">
        <v>0</v>
      </c>
      <c r="F141" s="11">
        <f>D141*(1-Cennik[[#This Row],[RABAT]])*(1-$C$324)</f>
        <v>2.0699999999999998</v>
      </c>
      <c r="G141" s="85"/>
      <c r="H141" s="57">
        <f t="shared" si="9"/>
        <v>0</v>
      </c>
      <c r="I141" s="166">
        <f t="shared" si="10"/>
        <v>9.1080000000000005</v>
      </c>
      <c r="K141" s="175"/>
      <c r="L141" s="176"/>
      <c r="M141" s="7"/>
    </row>
    <row r="142" spans="2:13" x14ac:dyDescent="0.25">
      <c r="B142" s="12" t="s">
        <v>183</v>
      </c>
      <c r="C142" s="13" t="s">
        <v>66</v>
      </c>
      <c r="D142" s="14">
        <v>1.45</v>
      </c>
      <c r="E142" s="161">
        <v>0</v>
      </c>
      <c r="F142" s="11">
        <f>D142*(1-Cennik[[#This Row],[RABAT]])*(1-$C$324)</f>
        <v>1.45</v>
      </c>
      <c r="G142" s="85"/>
      <c r="H142" s="57">
        <f t="shared" si="9"/>
        <v>0</v>
      </c>
      <c r="I142" s="166">
        <f t="shared" si="10"/>
        <v>6.38</v>
      </c>
      <c r="K142" s="175">
        <v>0.15</v>
      </c>
      <c r="L142" s="176">
        <f t="shared" ref="L142:L173" si="11">G142*K142</f>
        <v>0</v>
      </c>
      <c r="M142" s="7"/>
    </row>
    <row r="143" spans="2:13" x14ac:dyDescent="0.25">
      <c r="B143" s="6" t="s">
        <v>183</v>
      </c>
      <c r="C143" s="83" t="s">
        <v>375</v>
      </c>
      <c r="D143" s="38">
        <v>1.32</v>
      </c>
      <c r="E143" s="161">
        <v>0</v>
      </c>
      <c r="F143" s="11">
        <f>D143*(1-Cennik[[#This Row],[RABAT]])*(1-$C$324)</f>
        <v>1.32</v>
      </c>
      <c r="G143" s="85"/>
      <c r="H143" s="57">
        <f t="shared" si="9"/>
        <v>0</v>
      </c>
      <c r="I143" s="166">
        <f t="shared" si="10"/>
        <v>5.8080000000000007</v>
      </c>
      <c r="K143" s="175">
        <v>0.15</v>
      </c>
      <c r="L143" s="176">
        <f t="shared" si="11"/>
        <v>0</v>
      </c>
      <c r="M143" s="7"/>
    </row>
    <row r="144" spans="2:13" x14ac:dyDescent="0.25">
      <c r="B144" s="6" t="s">
        <v>183</v>
      </c>
      <c r="C144" s="83" t="s">
        <v>67</v>
      </c>
      <c r="D144" s="38">
        <v>1.44</v>
      </c>
      <c r="E144" s="161">
        <v>0</v>
      </c>
      <c r="F144" s="11">
        <f>D144*(1-Cennik[[#This Row],[RABAT]])*(1-$C$324)</f>
        <v>1.44</v>
      </c>
      <c r="G144" s="85"/>
      <c r="H144" s="57">
        <f t="shared" si="9"/>
        <v>0</v>
      </c>
      <c r="I144" s="166">
        <f t="shared" si="10"/>
        <v>6.3360000000000003</v>
      </c>
      <c r="K144" s="175">
        <v>0.22600000000000001</v>
      </c>
      <c r="L144" s="176">
        <f t="shared" si="11"/>
        <v>0</v>
      </c>
      <c r="M144" s="7"/>
    </row>
    <row r="145" spans="2:13" x14ac:dyDescent="0.25">
      <c r="B145" s="6" t="s">
        <v>183</v>
      </c>
      <c r="C145" s="83" t="s">
        <v>68</v>
      </c>
      <c r="D145" s="38">
        <v>1.95</v>
      </c>
      <c r="E145" s="161">
        <v>0</v>
      </c>
      <c r="F145" s="11">
        <f>D145*(1-Cennik[[#This Row],[RABAT]])*(1-$C$324)</f>
        <v>1.95</v>
      </c>
      <c r="G145" s="85"/>
      <c r="H145" s="57">
        <f t="shared" si="9"/>
        <v>0</v>
      </c>
      <c r="I145" s="166">
        <f t="shared" si="10"/>
        <v>8.58</v>
      </c>
      <c r="K145" s="175">
        <v>0.22800000000000001</v>
      </c>
      <c r="L145" s="176">
        <f t="shared" si="11"/>
        <v>0</v>
      </c>
      <c r="M145" s="7"/>
    </row>
    <row r="146" spans="2:13" x14ac:dyDescent="0.25">
      <c r="B146" s="6" t="s">
        <v>183</v>
      </c>
      <c r="C146" s="83" t="s">
        <v>69</v>
      </c>
      <c r="D146" s="38">
        <v>1.88</v>
      </c>
      <c r="E146" s="161">
        <v>0</v>
      </c>
      <c r="F146" s="11">
        <f>D146*(1-Cennik[[#This Row],[RABAT]])*(1-$C$324)</f>
        <v>1.88</v>
      </c>
      <c r="G146" s="85"/>
      <c r="H146" s="57">
        <f t="shared" si="9"/>
        <v>0</v>
      </c>
      <c r="I146" s="166">
        <f t="shared" si="10"/>
        <v>8.2720000000000002</v>
      </c>
      <c r="K146" s="175">
        <v>0.16200000000000001</v>
      </c>
      <c r="L146" s="176">
        <f t="shared" si="11"/>
        <v>0</v>
      </c>
      <c r="M146" s="7"/>
    </row>
    <row r="147" spans="2:13" x14ac:dyDescent="0.25">
      <c r="B147" s="84" t="s">
        <v>184</v>
      </c>
      <c r="C147" s="83" t="s">
        <v>70</v>
      </c>
      <c r="D147" s="38">
        <v>1.1499999999999999</v>
      </c>
      <c r="E147" s="161">
        <v>0</v>
      </c>
      <c r="F147" s="11">
        <f>D147*(1-Cennik[[#This Row],[RABAT]])*(1-$C$324)</f>
        <v>1.1499999999999999</v>
      </c>
      <c r="G147" s="85"/>
      <c r="H147" s="57">
        <f t="shared" si="9"/>
        <v>0</v>
      </c>
      <c r="I147" s="166">
        <f t="shared" si="10"/>
        <v>5.0599999999999996</v>
      </c>
      <c r="K147" s="175">
        <v>0.12</v>
      </c>
      <c r="L147" s="176">
        <f t="shared" si="11"/>
        <v>0</v>
      </c>
      <c r="M147" s="7"/>
    </row>
    <row r="148" spans="2:13" x14ac:dyDescent="0.25">
      <c r="B148" s="84" t="s">
        <v>184</v>
      </c>
      <c r="C148" s="83" t="s">
        <v>71</v>
      </c>
      <c r="D148" s="38">
        <v>1.45</v>
      </c>
      <c r="E148" s="161">
        <v>0</v>
      </c>
      <c r="F148" s="11">
        <f>D148*(1-Cennik[[#This Row],[RABAT]])*(1-$C$324)</f>
        <v>1.45</v>
      </c>
      <c r="G148" s="85"/>
      <c r="H148" s="57">
        <f t="shared" si="9"/>
        <v>0</v>
      </c>
      <c r="I148" s="166">
        <f t="shared" si="10"/>
        <v>6.38</v>
      </c>
      <c r="K148" s="175">
        <v>0.15</v>
      </c>
      <c r="L148" s="176">
        <f t="shared" si="11"/>
        <v>0</v>
      </c>
      <c r="M148" s="7"/>
    </row>
    <row r="149" spans="2:13" x14ac:dyDescent="0.25">
      <c r="B149" s="84" t="s">
        <v>184</v>
      </c>
      <c r="C149" s="83" t="s">
        <v>72</v>
      </c>
      <c r="D149" s="38">
        <v>0.95</v>
      </c>
      <c r="E149" s="161">
        <v>0</v>
      </c>
      <c r="F149" s="11">
        <f>D149*(1-Cennik[[#This Row],[RABAT]])*(1-$C$324)</f>
        <v>0.95</v>
      </c>
      <c r="G149" s="85"/>
      <c r="H149" s="57">
        <f t="shared" si="9"/>
        <v>0</v>
      </c>
      <c r="I149" s="166">
        <f t="shared" si="10"/>
        <v>4.18</v>
      </c>
      <c r="K149" s="175">
        <v>7.0000000000000007E-2</v>
      </c>
      <c r="L149" s="176">
        <f t="shared" si="11"/>
        <v>0</v>
      </c>
      <c r="M149" s="7"/>
    </row>
    <row r="150" spans="2:13" x14ac:dyDescent="0.25">
      <c r="B150" s="84" t="s">
        <v>184</v>
      </c>
      <c r="C150" s="83" t="s">
        <v>73</v>
      </c>
      <c r="D150" s="38">
        <v>1.1100000000000001</v>
      </c>
      <c r="E150" s="161">
        <v>0</v>
      </c>
      <c r="F150" s="11">
        <f>D150*(1-Cennik[[#This Row],[RABAT]])*(1-$C$324)</f>
        <v>1.1100000000000001</v>
      </c>
      <c r="G150" s="85"/>
      <c r="H150" s="57">
        <f t="shared" si="9"/>
        <v>0</v>
      </c>
      <c r="I150" s="166">
        <f t="shared" si="10"/>
        <v>4.8840000000000012</v>
      </c>
      <c r="K150" s="175">
        <v>0.14799999999999999</v>
      </c>
      <c r="L150" s="176">
        <f t="shared" si="11"/>
        <v>0</v>
      </c>
      <c r="M150" s="7"/>
    </row>
    <row r="151" spans="2:13" x14ac:dyDescent="0.25">
      <c r="B151" s="84" t="s">
        <v>184</v>
      </c>
      <c r="C151" s="83" t="s">
        <v>351</v>
      </c>
      <c r="D151" s="38">
        <v>1.35</v>
      </c>
      <c r="E151" s="161">
        <v>0</v>
      </c>
      <c r="F151" s="11">
        <f>D151*(1-Cennik[[#This Row],[RABAT]])*(1-$C$324)</f>
        <v>1.35</v>
      </c>
      <c r="G151" s="85"/>
      <c r="H151" s="57">
        <f t="shared" si="9"/>
        <v>0</v>
      </c>
      <c r="I151" s="166">
        <f t="shared" si="10"/>
        <v>5.9400000000000013</v>
      </c>
      <c r="K151" s="175">
        <v>0.158</v>
      </c>
      <c r="L151" s="176">
        <f t="shared" si="11"/>
        <v>0</v>
      </c>
      <c r="M151" s="7"/>
    </row>
    <row r="152" spans="2:13" x14ac:dyDescent="0.25">
      <c r="B152" s="84" t="s">
        <v>184</v>
      </c>
      <c r="C152" s="83" t="s">
        <v>352</v>
      </c>
      <c r="D152" s="38">
        <v>1.95</v>
      </c>
      <c r="E152" s="161">
        <v>0</v>
      </c>
      <c r="F152" s="11">
        <f>D152*(1-Cennik[[#This Row],[RABAT]])*(1-$C$324)</f>
        <v>1.95</v>
      </c>
      <c r="G152" s="85"/>
      <c r="H152" s="57">
        <f t="shared" si="9"/>
        <v>0</v>
      </c>
      <c r="I152" s="166">
        <f t="shared" si="10"/>
        <v>8.58</v>
      </c>
      <c r="K152" s="175">
        <v>0.24</v>
      </c>
      <c r="L152" s="176">
        <f t="shared" si="11"/>
        <v>0</v>
      </c>
      <c r="M152" s="7"/>
    </row>
    <row r="153" spans="2:13" x14ac:dyDescent="0.25">
      <c r="B153" s="12" t="s">
        <v>185</v>
      </c>
      <c r="C153" s="13" t="s">
        <v>74</v>
      </c>
      <c r="D153" s="14">
        <v>1.33</v>
      </c>
      <c r="E153" s="161">
        <v>0</v>
      </c>
      <c r="F153" s="11">
        <f>D153*(1-Cennik[[#This Row],[RABAT]])*(1-$C$324)</f>
        <v>1.33</v>
      </c>
      <c r="G153" s="85"/>
      <c r="H153" s="57">
        <f t="shared" si="9"/>
        <v>0</v>
      </c>
      <c r="I153" s="166">
        <f t="shared" si="10"/>
        <v>5.8520000000000012</v>
      </c>
      <c r="K153" s="175"/>
      <c r="L153" s="176">
        <f t="shared" si="11"/>
        <v>0</v>
      </c>
      <c r="M153" s="7"/>
    </row>
    <row r="154" spans="2:13" x14ac:dyDescent="0.25">
      <c r="B154" s="12" t="s">
        <v>185</v>
      </c>
      <c r="C154" s="13" t="s">
        <v>75</v>
      </c>
      <c r="D154" s="14">
        <v>1.6</v>
      </c>
      <c r="E154" s="161">
        <v>0</v>
      </c>
      <c r="F154" s="11">
        <f>D154*(1-Cennik[[#This Row],[RABAT]])*(1-$C$324)</f>
        <v>1.6</v>
      </c>
      <c r="G154" s="85"/>
      <c r="H154" s="57">
        <f t="shared" si="9"/>
        <v>0</v>
      </c>
      <c r="I154" s="166">
        <f t="shared" si="10"/>
        <v>7.0400000000000009</v>
      </c>
      <c r="K154" s="175"/>
      <c r="L154" s="176">
        <f t="shared" si="11"/>
        <v>0</v>
      </c>
      <c r="M154" s="7"/>
    </row>
    <row r="155" spans="2:13" x14ac:dyDescent="0.25">
      <c r="B155" s="12" t="s">
        <v>185</v>
      </c>
      <c r="C155" s="13" t="s">
        <v>76</v>
      </c>
      <c r="D155" s="14">
        <v>1.28</v>
      </c>
      <c r="E155" s="161">
        <v>0</v>
      </c>
      <c r="F155" s="11">
        <f>D155*(1-Cennik[[#This Row],[RABAT]])*(1-$C$324)</f>
        <v>1.28</v>
      </c>
      <c r="G155" s="85"/>
      <c r="H155" s="57">
        <f t="shared" si="9"/>
        <v>0</v>
      </c>
      <c r="I155" s="166">
        <f t="shared" si="10"/>
        <v>5.6320000000000006</v>
      </c>
      <c r="K155" s="175"/>
      <c r="L155" s="176">
        <f t="shared" si="11"/>
        <v>0</v>
      </c>
      <c r="M155" s="7"/>
    </row>
    <row r="156" spans="2:13" x14ac:dyDescent="0.25">
      <c r="B156" s="12" t="s">
        <v>185</v>
      </c>
      <c r="C156" s="13" t="s">
        <v>77</v>
      </c>
      <c r="D156" s="14">
        <v>0.8</v>
      </c>
      <c r="E156" s="161">
        <v>0</v>
      </c>
      <c r="F156" s="11">
        <f>D156*(1-Cennik[[#This Row],[RABAT]])*(1-$C$324)</f>
        <v>0.8</v>
      </c>
      <c r="G156" s="85"/>
      <c r="H156" s="57">
        <f t="shared" si="9"/>
        <v>0</v>
      </c>
      <c r="I156" s="166">
        <f t="shared" si="10"/>
        <v>3.5200000000000005</v>
      </c>
      <c r="K156" s="175"/>
      <c r="L156" s="176">
        <f t="shared" si="11"/>
        <v>0</v>
      </c>
      <c r="M156" s="7"/>
    </row>
    <row r="157" spans="2:13" x14ac:dyDescent="0.25">
      <c r="B157" s="5" t="s">
        <v>186</v>
      </c>
      <c r="C157" s="42" t="s">
        <v>78</v>
      </c>
      <c r="D157" s="36">
        <v>1.18</v>
      </c>
      <c r="E157" s="161">
        <v>0</v>
      </c>
      <c r="F157" s="11">
        <f>D157*(1-Cennik[[#This Row],[RABAT]])*(1-$C$324)</f>
        <v>1.18</v>
      </c>
      <c r="G157" s="85"/>
      <c r="H157" s="57">
        <f t="shared" si="9"/>
        <v>0</v>
      </c>
      <c r="I157" s="166">
        <f t="shared" si="10"/>
        <v>5.1920000000000002</v>
      </c>
      <c r="K157" s="175">
        <v>0.114</v>
      </c>
      <c r="L157" s="176">
        <f t="shared" si="11"/>
        <v>0</v>
      </c>
      <c r="M157" s="7"/>
    </row>
    <row r="158" spans="2:13" x14ac:dyDescent="0.25">
      <c r="B158" s="5" t="s">
        <v>186</v>
      </c>
      <c r="C158" s="42" t="s">
        <v>79</v>
      </c>
      <c r="D158" s="36">
        <v>1.56</v>
      </c>
      <c r="E158" s="161">
        <v>0</v>
      </c>
      <c r="F158" s="11">
        <f>D158*(1-Cennik[[#This Row],[RABAT]])*(1-$C$324)</f>
        <v>1.56</v>
      </c>
      <c r="G158" s="85"/>
      <c r="H158" s="57">
        <f t="shared" si="9"/>
        <v>0</v>
      </c>
      <c r="I158" s="166">
        <f t="shared" si="10"/>
        <v>6.8640000000000008</v>
      </c>
      <c r="K158" s="175">
        <v>0.13200000000000001</v>
      </c>
      <c r="L158" s="176">
        <f t="shared" si="11"/>
        <v>0</v>
      </c>
      <c r="M158" s="7"/>
    </row>
    <row r="159" spans="2:13" x14ac:dyDescent="0.25">
      <c r="B159" s="5" t="s">
        <v>186</v>
      </c>
      <c r="C159" s="42" t="s">
        <v>80</v>
      </c>
      <c r="D159" s="37">
        <v>1.95</v>
      </c>
      <c r="E159" s="161">
        <v>0</v>
      </c>
      <c r="F159" s="11">
        <f>D159*(1-Cennik[[#This Row],[RABAT]])*(1-$C$324)</f>
        <v>1.95</v>
      </c>
      <c r="G159" s="85"/>
      <c r="H159" s="57">
        <f t="shared" si="9"/>
        <v>0</v>
      </c>
      <c r="I159" s="166">
        <f t="shared" si="10"/>
        <v>8.58</v>
      </c>
      <c r="K159" s="175">
        <v>0.14000000000000001</v>
      </c>
      <c r="L159" s="176">
        <f t="shared" si="11"/>
        <v>0</v>
      </c>
      <c r="M159" s="7"/>
    </row>
    <row r="160" spans="2:13" x14ac:dyDescent="0.25">
      <c r="B160" s="5" t="s">
        <v>186</v>
      </c>
      <c r="C160" s="42" t="s">
        <v>81</v>
      </c>
      <c r="D160" s="37">
        <v>1.95</v>
      </c>
      <c r="E160" s="161">
        <v>0</v>
      </c>
      <c r="F160" s="11">
        <f>D160*(1-Cennik[[#This Row],[RABAT]])*(1-$C$324)</f>
        <v>1.95</v>
      </c>
      <c r="G160" s="85"/>
      <c r="H160" s="57">
        <f t="shared" si="9"/>
        <v>0</v>
      </c>
      <c r="I160" s="166">
        <f t="shared" si="10"/>
        <v>8.58</v>
      </c>
      <c r="K160" s="175">
        <v>0.156</v>
      </c>
      <c r="L160" s="176">
        <f t="shared" si="11"/>
        <v>0</v>
      </c>
      <c r="M160" s="7"/>
    </row>
    <row r="161" spans="2:13" x14ac:dyDescent="0.25">
      <c r="B161" s="5" t="s">
        <v>186</v>
      </c>
      <c r="C161" s="42" t="s">
        <v>82</v>
      </c>
      <c r="D161" s="37">
        <v>1.4</v>
      </c>
      <c r="E161" s="161">
        <v>0</v>
      </c>
      <c r="F161" s="11">
        <f>D161*(1-Cennik[[#This Row],[RABAT]])*(1-$C$324)</f>
        <v>1.4</v>
      </c>
      <c r="G161" s="85"/>
      <c r="H161" s="57">
        <f t="shared" si="9"/>
        <v>0</v>
      </c>
      <c r="I161" s="166">
        <f t="shared" si="10"/>
        <v>6.16</v>
      </c>
      <c r="K161" s="175">
        <v>0.128</v>
      </c>
      <c r="L161" s="176">
        <f t="shared" si="11"/>
        <v>0</v>
      </c>
      <c r="M161" s="7"/>
    </row>
    <row r="162" spans="2:13" x14ac:dyDescent="0.25">
      <c r="B162" s="5" t="s">
        <v>186</v>
      </c>
      <c r="C162" s="42" t="s">
        <v>353</v>
      </c>
      <c r="D162" s="36">
        <v>1.1399999999999999</v>
      </c>
      <c r="E162" s="161">
        <v>0</v>
      </c>
      <c r="F162" s="11">
        <f>D162*(1-Cennik[[#This Row],[RABAT]])*(1-$C$324)</f>
        <v>1.1399999999999999</v>
      </c>
      <c r="G162" s="85"/>
      <c r="H162" s="57">
        <f t="shared" si="9"/>
        <v>0</v>
      </c>
      <c r="I162" s="166">
        <f t="shared" si="10"/>
        <v>5.016</v>
      </c>
      <c r="K162" s="175">
        <v>0.126</v>
      </c>
      <c r="L162" s="176">
        <f t="shared" si="11"/>
        <v>0</v>
      </c>
      <c r="M162" s="7"/>
    </row>
    <row r="163" spans="2:13" x14ac:dyDescent="0.25">
      <c r="B163" s="9" t="s">
        <v>186</v>
      </c>
      <c r="C163" s="10" t="s">
        <v>83</v>
      </c>
      <c r="D163" s="11">
        <v>1.3</v>
      </c>
      <c r="E163" s="161">
        <v>0</v>
      </c>
      <c r="F163" s="11">
        <f>D163*(1-Cennik[[#This Row],[RABAT]])*(1-$C$324)</f>
        <v>1.3</v>
      </c>
      <c r="G163" s="85"/>
      <c r="H163" s="57">
        <f t="shared" si="9"/>
        <v>0</v>
      </c>
      <c r="I163" s="166">
        <f t="shared" si="10"/>
        <v>5.7200000000000006</v>
      </c>
      <c r="K163" s="175">
        <v>0.115</v>
      </c>
      <c r="L163" s="176">
        <f t="shared" si="11"/>
        <v>0</v>
      </c>
      <c r="M163" s="7"/>
    </row>
    <row r="164" spans="2:13" x14ac:dyDescent="0.25">
      <c r="B164" s="9" t="s">
        <v>186</v>
      </c>
      <c r="C164" s="10" t="s">
        <v>84</v>
      </c>
      <c r="D164" s="11">
        <v>1.4</v>
      </c>
      <c r="E164" s="161">
        <v>0</v>
      </c>
      <c r="F164" s="11">
        <f>D164*(1-Cennik[[#This Row],[RABAT]])*(1-$C$324)</f>
        <v>1.4</v>
      </c>
      <c r="G164" s="85"/>
      <c r="H164" s="57">
        <f t="shared" si="9"/>
        <v>0</v>
      </c>
      <c r="I164" s="166">
        <f t="shared" si="10"/>
        <v>6.16</v>
      </c>
      <c r="K164" s="175">
        <v>0.13700000000000001</v>
      </c>
      <c r="L164" s="176">
        <f t="shared" si="11"/>
        <v>0</v>
      </c>
      <c r="M164" s="7"/>
    </row>
    <row r="165" spans="2:13" x14ac:dyDescent="0.25">
      <c r="B165" s="5" t="s">
        <v>187</v>
      </c>
      <c r="C165" s="42" t="s">
        <v>354</v>
      </c>
      <c r="D165" s="36">
        <v>0.81</v>
      </c>
      <c r="E165" s="161">
        <v>0</v>
      </c>
      <c r="F165" s="11">
        <f>D165*(1-Cennik[[#This Row],[RABAT]])*(1-$C$324)</f>
        <v>0.81</v>
      </c>
      <c r="G165" s="85"/>
      <c r="H165" s="57">
        <f t="shared" si="9"/>
        <v>0</v>
      </c>
      <c r="I165" s="166">
        <f t="shared" si="10"/>
        <v>3.5640000000000005</v>
      </c>
      <c r="K165" s="175">
        <v>7.5999999999999998E-2</v>
      </c>
      <c r="L165" s="176">
        <f t="shared" si="11"/>
        <v>0</v>
      </c>
      <c r="M165" s="7"/>
    </row>
    <row r="166" spans="2:13" x14ac:dyDescent="0.25">
      <c r="B166" s="5" t="s">
        <v>187</v>
      </c>
      <c r="C166" s="42" t="s">
        <v>355</v>
      </c>
      <c r="D166" s="36">
        <v>1.6</v>
      </c>
      <c r="E166" s="161">
        <v>0</v>
      </c>
      <c r="F166" s="11">
        <f>D166*(1-Cennik[[#This Row],[RABAT]])*(1-$C$324)</f>
        <v>1.6</v>
      </c>
      <c r="G166" s="85"/>
      <c r="H166" s="57">
        <f t="shared" si="9"/>
        <v>0</v>
      </c>
      <c r="I166" s="166">
        <f t="shared" si="10"/>
        <v>7.0400000000000009</v>
      </c>
      <c r="K166" s="175">
        <v>9.4E-2</v>
      </c>
      <c r="L166" s="176">
        <f t="shared" si="11"/>
        <v>0</v>
      </c>
      <c r="M166" s="7"/>
    </row>
    <row r="167" spans="2:13" x14ac:dyDescent="0.25">
      <c r="B167" s="5" t="s">
        <v>187</v>
      </c>
      <c r="C167" s="1" t="s">
        <v>85</v>
      </c>
      <c r="D167" s="36">
        <v>1.5</v>
      </c>
      <c r="E167" s="161">
        <v>0</v>
      </c>
      <c r="F167" s="11">
        <f>D167*(1-Cennik[[#This Row],[RABAT]])*(1-$C$324)</f>
        <v>1.5</v>
      </c>
      <c r="G167" s="85"/>
      <c r="H167" s="57">
        <f t="shared" si="9"/>
        <v>0</v>
      </c>
      <c r="I167" s="166">
        <f t="shared" si="10"/>
        <v>6.6000000000000005</v>
      </c>
      <c r="K167" s="175">
        <v>0.115</v>
      </c>
      <c r="L167" s="176">
        <f t="shared" si="11"/>
        <v>0</v>
      </c>
      <c r="M167" s="7"/>
    </row>
    <row r="168" spans="2:13" x14ac:dyDescent="0.25">
      <c r="B168" s="5" t="s">
        <v>187</v>
      </c>
      <c r="C168" s="1" t="s">
        <v>356</v>
      </c>
      <c r="D168" s="36">
        <v>1.45</v>
      </c>
      <c r="E168" s="161">
        <v>0</v>
      </c>
      <c r="F168" s="11">
        <f>D168*(1-Cennik[[#This Row],[RABAT]])*(1-$C$324)</f>
        <v>1.45</v>
      </c>
      <c r="G168" s="85"/>
      <c r="H168" s="57">
        <f t="shared" si="9"/>
        <v>0</v>
      </c>
      <c r="I168" s="166">
        <f t="shared" si="10"/>
        <v>6.38</v>
      </c>
      <c r="K168" s="175">
        <v>0.13200000000000001</v>
      </c>
      <c r="L168" s="176">
        <f t="shared" si="11"/>
        <v>0</v>
      </c>
      <c r="M168" s="7"/>
    </row>
    <row r="169" spans="2:13" x14ac:dyDescent="0.25">
      <c r="B169" s="12" t="s">
        <v>188</v>
      </c>
      <c r="C169" s="13" t="s">
        <v>86</v>
      </c>
      <c r="D169" s="14">
        <v>0.64</v>
      </c>
      <c r="E169" s="161">
        <v>0</v>
      </c>
      <c r="F169" s="11">
        <f>D169*(1-Cennik[[#This Row],[RABAT]])*(1-$C$324)</f>
        <v>0.64</v>
      </c>
      <c r="G169" s="85"/>
      <c r="H169" s="57">
        <f t="shared" si="9"/>
        <v>0</v>
      </c>
      <c r="I169" s="166">
        <f t="shared" si="10"/>
        <v>2.8160000000000003</v>
      </c>
      <c r="K169" s="175">
        <v>8.0000000000000002E-3</v>
      </c>
      <c r="L169" s="176">
        <f t="shared" si="11"/>
        <v>0</v>
      </c>
      <c r="M169" s="7"/>
    </row>
    <row r="170" spans="2:13" x14ac:dyDescent="0.25">
      <c r="B170" s="12" t="s">
        <v>188</v>
      </c>
      <c r="C170" s="13" t="s">
        <v>87</v>
      </c>
      <c r="D170" s="14">
        <v>1.29</v>
      </c>
      <c r="E170" s="161">
        <v>0</v>
      </c>
      <c r="F170" s="11">
        <f>D170*(1-Cennik[[#This Row],[RABAT]])*(1-$C$324)</f>
        <v>1.29</v>
      </c>
      <c r="G170" s="85"/>
      <c r="H170" s="57">
        <f t="shared" si="9"/>
        <v>0</v>
      </c>
      <c r="I170" s="166">
        <f t="shared" si="10"/>
        <v>5.676000000000001</v>
      </c>
      <c r="K170" s="175">
        <v>2.5999999999999999E-2</v>
      </c>
      <c r="L170" s="176">
        <f t="shared" si="11"/>
        <v>0</v>
      </c>
      <c r="M170" s="7"/>
    </row>
    <row r="171" spans="2:13" x14ac:dyDescent="0.25">
      <c r="B171" s="12" t="s">
        <v>189</v>
      </c>
      <c r="C171" s="13" t="s">
        <v>88</v>
      </c>
      <c r="D171" s="14">
        <v>1.67</v>
      </c>
      <c r="E171" s="161">
        <v>0</v>
      </c>
      <c r="F171" s="11">
        <f>D171*(1-Cennik[[#This Row],[RABAT]])*(1-$C$324)</f>
        <v>1.67</v>
      </c>
      <c r="G171" s="85"/>
      <c r="H171" s="57">
        <f t="shared" si="9"/>
        <v>0</v>
      </c>
      <c r="I171" s="166">
        <f t="shared" si="10"/>
        <v>7.3479999999999999</v>
      </c>
      <c r="K171" s="175">
        <v>8.7999999999999995E-2</v>
      </c>
      <c r="L171" s="176">
        <f t="shared" si="11"/>
        <v>0</v>
      </c>
      <c r="M171" s="7"/>
    </row>
    <row r="172" spans="2:13" x14ac:dyDescent="0.25">
      <c r="B172" s="12" t="s">
        <v>189</v>
      </c>
      <c r="C172" s="13" t="s">
        <v>89</v>
      </c>
      <c r="D172" s="14">
        <v>2.25</v>
      </c>
      <c r="E172" s="161">
        <v>0</v>
      </c>
      <c r="F172" s="11">
        <f>D172*(1-Cennik[[#This Row],[RABAT]])*(1-$C$324)</f>
        <v>2.25</v>
      </c>
      <c r="G172" s="85"/>
      <c r="H172" s="57">
        <f t="shared" si="9"/>
        <v>0</v>
      </c>
      <c r="I172" s="166">
        <f t="shared" si="10"/>
        <v>9.9</v>
      </c>
      <c r="K172" s="175">
        <v>0.06</v>
      </c>
      <c r="L172" s="176">
        <f t="shared" si="11"/>
        <v>0</v>
      </c>
      <c r="M172" s="7"/>
    </row>
    <row r="173" spans="2:13" x14ac:dyDescent="0.25">
      <c r="B173" s="12" t="s">
        <v>189</v>
      </c>
      <c r="C173" s="13" t="s">
        <v>90</v>
      </c>
      <c r="D173" s="82">
        <v>1.54</v>
      </c>
      <c r="E173" s="161">
        <v>0</v>
      </c>
      <c r="F173" s="11">
        <f>D173*(1-Cennik[[#This Row],[RABAT]])*(1-$C$324)</f>
        <v>1.54</v>
      </c>
      <c r="G173" s="85"/>
      <c r="H173" s="57">
        <f t="shared" si="9"/>
        <v>0</v>
      </c>
      <c r="I173" s="166">
        <f t="shared" si="10"/>
        <v>6.7760000000000007</v>
      </c>
      <c r="K173" s="175">
        <v>9.5000000000000001E-2</v>
      </c>
      <c r="L173" s="176">
        <f t="shared" si="11"/>
        <v>0</v>
      </c>
      <c r="M173" s="7"/>
    </row>
    <row r="174" spans="2:13" x14ac:dyDescent="0.25">
      <c r="B174" s="12" t="s">
        <v>189</v>
      </c>
      <c r="C174" s="13" t="s">
        <v>91</v>
      </c>
      <c r="D174" s="82">
        <v>1.54</v>
      </c>
      <c r="E174" s="161">
        <v>0</v>
      </c>
      <c r="F174" s="11">
        <f>D174*(1-Cennik[[#This Row],[RABAT]])*(1-$C$324)</f>
        <v>1.54</v>
      </c>
      <c r="G174" s="85"/>
      <c r="H174" s="57">
        <f t="shared" si="9"/>
        <v>0</v>
      </c>
      <c r="I174" s="166">
        <f t="shared" si="10"/>
        <v>6.7760000000000007</v>
      </c>
      <c r="K174" s="175">
        <v>8.5000000000000006E-2</v>
      </c>
      <c r="L174" s="176">
        <f t="shared" ref="L174:L205" si="12">G174*K174</f>
        <v>0</v>
      </c>
      <c r="M174" s="7"/>
    </row>
    <row r="175" spans="2:13" x14ac:dyDescent="0.25">
      <c r="B175" s="5" t="s">
        <v>190</v>
      </c>
      <c r="C175" s="2" t="s">
        <v>92</v>
      </c>
      <c r="D175" s="37">
        <v>0.9</v>
      </c>
      <c r="E175" s="161">
        <v>0</v>
      </c>
      <c r="F175" s="11">
        <f>D175*(1-Cennik[[#This Row],[RABAT]])*(1-$C$324)</f>
        <v>0.9</v>
      </c>
      <c r="G175" s="85"/>
      <c r="H175" s="57">
        <f t="shared" si="9"/>
        <v>0</v>
      </c>
      <c r="I175" s="166">
        <f t="shared" si="10"/>
        <v>3.9600000000000004</v>
      </c>
      <c r="K175" s="175">
        <v>0.10199999999999999</v>
      </c>
      <c r="L175" s="176">
        <f t="shared" si="12"/>
        <v>0</v>
      </c>
      <c r="M175" s="7"/>
    </row>
    <row r="176" spans="2:13" x14ac:dyDescent="0.25">
      <c r="B176" s="5" t="s">
        <v>190</v>
      </c>
      <c r="C176" s="42" t="s">
        <v>93</v>
      </c>
      <c r="D176" s="37">
        <v>0.98</v>
      </c>
      <c r="E176" s="161">
        <v>0</v>
      </c>
      <c r="F176" s="11">
        <f>D176*(1-Cennik[[#This Row],[RABAT]])*(1-$C$324)</f>
        <v>0.98</v>
      </c>
      <c r="G176" s="85"/>
      <c r="H176" s="57">
        <f t="shared" si="9"/>
        <v>0</v>
      </c>
      <c r="I176" s="166">
        <f t="shared" si="10"/>
        <v>4.3120000000000003</v>
      </c>
      <c r="K176" s="175">
        <v>0.12</v>
      </c>
      <c r="L176" s="176">
        <f t="shared" si="12"/>
        <v>0</v>
      </c>
      <c r="M176" s="7"/>
    </row>
    <row r="177" spans="2:13" x14ac:dyDescent="0.25">
      <c r="B177" s="5" t="s">
        <v>191</v>
      </c>
      <c r="C177" s="42" t="s">
        <v>94</v>
      </c>
      <c r="D177" s="37">
        <v>0.67</v>
      </c>
      <c r="E177" s="161">
        <v>0</v>
      </c>
      <c r="F177" s="11">
        <f>D177*(1-Cennik[[#This Row],[RABAT]])*(1-$C$324)</f>
        <v>0.67</v>
      </c>
      <c r="G177" s="85"/>
      <c r="H177" s="57">
        <f t="shared" si="9"/>
        <v>0</v>
      </c>
      <c r="I177" s="166">
        <f t="shared" si="10"/>
        <v>2.9480000000000004</v>
      </c>
      <c r="K177" s="175">
        <v>6.6000000000000003E-2</v>
      </c>
      <c r="L177" s="176">
        <f t="shared" si="12"/>
        <v>0</v>
      </c>
      <c r="M177" s="7"/>
    </row>
    <row r="178" spans="2:13" x14ac:dyDescent="0.25">
      <c r="B178" s="5" t="s">
        <v>191</v>
      </c>
      <c r="C178" s="42" t="s">
        <v>95</v>
      </c>
      <c r="D178" s="37">
        <v>0.5</v>
      </c>
      <c r="E178" s="161">
        <v>0</v>
      </c>
      <c r="F178" s="11">
        <f>D178*(1-Cennik[[#This Row],[RABAT]])*(1-$C$324)</f>
        <v>0.5</v>
      </c>
      <c r="G178" s="85"/>
      <c r="H178" s="57">
        <f t="shared" si="9"/>
        <v>0</v>
      </c>
      <c r="I178" s="166">
        <f t="shared" si="10"/>
        <v>2.2000000000000002</v>
      </c>
      <c r="K178" s="175">
        <v>0.02</v>
      </c>
      <c r="L178" s="176">
        <f t="shared" si="12"/>
        <v>0</v>
      </c>
      <c r="M178" s="7"/>
    </row>
    <row r="179" spans="2:13" x14ac:dyDescent="0.25">
      <c r="B179" s="5" t="s">
        <v>191</v>
      </c>
      <c r="C179" s="42" t="s">
        <v>96</v>
      </c>
      <c r="D179" s="37">
        <v>0.44</v>
      </c>
      <c r="E179" s="161">
        <v>0</v>
      </c>
      <c r="F179" s="11">
        <f>D179*(1-Cennik[[#This Row],[RABAT]])*(1-$C$324)</f>
        <v>0.44</v>
      </c>
      <c r="G179" s="85"/>
      <c r="H179" s="57">
        <f t="shared" si="9"/>
        <v>0</v>
      </c>
      <c r="I179" s="166">
        <f t="shared" si="10"/>
        <v>1.9360000000000002</v>
      </c>
      <c r="K179" s="175">
        <v>2.5999999999999999E-2</v>
      </c>
      <c r="L179" s="176">
        <f t="shared" si="12"/>
        <v>0</v>
      </c>
      <c r="M179" s="7"/>
    </row>
    <row r="180" spans="2:13" x14ac:dyDescent="0.25">
      <c r="B180" s="5" t="s">
        <v>192</v>
      </c>
      <c r="C180" s="42" t="s">
        <v>97</v>
      </c>
      <c r="D180" s="37">
        <v>0.7</v>
      </c>
      <c r="E180" s="161">
        <v>0</v>
      </c>
      <c r="F180" s="11">
        <f>D180*(1-Cennik[[#This Row],[RABAT]])*(1-$C$324)</f>
        <v>0.7</v>
      </c>
      <c r="G180" s="85"/>
      <c r="H180" s="57">
        <f t="shared" si="9"/>
        <v>0</v>
      </c>
      <c r="I180" s="166">
        <f t="shared" si="10"/>
        <v>3.08</v>
      </c>
      <c r="K180" s="175">
        <v>6.2E-2</v>
      </c>
      <c r="L180" s="176">
        <f t="shared" si="12"/>
        <v>0</v>
      </c>
      <c r="M180" s="7"/>
    </row>
    <row r="181" spans="2:13" x14ac:dyDescent="0.25">
      <c r="B181" s="5" t="s">
        <v>192</v>
      </c>
      <c r="C181" s="39" t="s">
        <v>98</v>
      </c>
      <c r="D181" s="40">
        <v>1.31</v>
      </c>
      <c r="E181" s="161">
        <v>0</v>
      </c>
      <c r="F181" s="11">
        <f>D181*(1-Cennik[[#This Row],[RABAT]])*(1-$C$324)</f>
        <v>1.31</v>
      </c>
      <c r="G181" s="85"/>
      <c r="H181" s="57">
        <f t="shared" si="9"/>
        <v>0</v>
      </c>
      <c r="I181" s="166">
        <f t="shared" si="10"/>
        <v>5.7640000000000011</v>
      </c>
      <c r="K181" s="175">
        <v>1.4E-2</v>
      </c>
      <c r="L181" s="176">
        <f t="shared" si="12"/>
        <v>0</v>
      </c>
      <c r="M181" s="7"/>
    </row>
    <row r="182" spans="2:13" x14ac:dyDescent="0.25">
      <c r="B182" s="5" t="s">
        <v>193</v>
      </c>
      <c r="C182" s="39" t="s">
        <v>99</v>
      </c>
      <c r="D182" s="40">
        <v>1.21</v>
      </c>
      <c r="E182" s="161">
        <v>0</v>
      </c>
      <c r="F182" s="11">
        <f>D182*(1-Cennik[[#This Row],[RABAT]])*(1-$C$324)</f>
        <v>1.21</v>
      </c>
      <c r="G182" s="85"/>
      <c r="H182" s="57">
        <f t="shared" si="9"/>
        <v>0</v>
      </c>
      <c r="I182" s="166">
        <f t="shared" si="10"/>
        <v>5.3239999999999998</v>
      </c>
      <c r="K182" s="175">
        <v>0.11</v>
      </c>
      <c r="L182" s="176">
        <f t="shared" si="12"/>
        <v>0</v>
      </c>
      <c r="M182" s="7"/>
    </row>
    <row r="183" spans="2:13" x14ac:dyDescent="0.25">
      <c r="B183" s="5" t="s">
        <v>193</v>
      </c>
      <c r="C183" s="39" t="s">
        <v>100</v>
      </c>
      <c r="D183" s="40">
        <v>1.1299999999999999</v>
      </c>
      <c r="E183" s="161">
        <v>0</v>
      </c>
      <c r="F183" s="11">
        <f>D183*(1-Cennik[[#This Row],[RABAT]])*(1-$C$324)</f>
        <v>1.1299999999999999</v>
      </c>
      <c r="G183" s="85"/>
      <c r="H183" s="57">
        <f t="shared" si="9"/>
        <v>0</v>
      </c>
      <c r="I183" s="166">
        <f t="shared" si="10"/>
        <v>4.9719999999999995</v>
      </c>
      <c r="K183" s="175">
        <v>7.1999999999999995E-2</v>
      </c>
      <c r="L183" s="176">
        <f t="shared" si="12"/>
        <v>0</v>
      </c>
      <c r="M183" s="7"/>
    </row>
    <row r="184" spans="2:13" x14ac:dyDescent="0.25">
      <c r="B184" s="5" t="s">
        <v>194</v>
      </c>
      <c r="C184" s="39" t="s">
        <v>101</v>
      </c>
      <c r="D184" s="40">
        <v>1.24</v>
      </c>
      <c r="E184" s="161">
        <v>0</v>
      </c>
      <c r="F184" s="11">
        <f>D184*(1-Cennik[[#This Row],[RABAT]])*(1-$C$324)</f>
        <v>1.24</v>
      </c>
      <c r="G184" s="85"/>
      <c r="H184" s="57">
        <f t="shared" si="9"/>
        <v>0</v>
      </c>
      <c r="I184" s="166">
        <f t="shared" si="10"/>
        <v>5.4560000000000004</v>
      </c>
      <c r="K184" s="175">
        <v>0.17599999999999999</v>
      </c>
      <c r="L184" s="176">
        <f t="shared" si="12"/>
        <v>0</v>
      </c>
      <c r="M184" s="7"/>
    </row>
    <row r="185" spans="2:13" x14ac:dyDescent="0.25">
      <c r="B185" s="5" t="s">
        <v>195</v>
      </c>
      <c r="C185" s="42" t="s">
        <v>102</v>
      </c>
      <c r="D185" s="36">
        <v>2.95</v>
      </c>
      <c r="E185" s="161">
        <v>0</v>
      </c>
      <c r="F185" s="11">
        <f>D185*(1-Cennik[[#This Row],[RABAT]])*(1-$C$324)</f>
        <v>2.95</v>
      </c>
      <c r="G185" s="85"/>
      <c r="H185" s="57">
        <f t="shared" si="9"/>
        <v>0</v>
      </c>
      <c r="I185" s="166">
        <f t="shared" si="10"/>
        <v>12.980000000000002</v>
      </c>
      <c r="K185" s="175">
        <v>0.22600000000000001</v>
      </c>
      <c r="L185" s="176">
        <f t="shared" si="12"/>
        <v>0</v>
      </c>
      <c r="M185" s="7"/>
    </row>
    <row r="186" spans="2:13" x14ac:dyDescent="0.25">
      <c r="B186" s="5" t="s">
        <v>196</v>
      </c>
      <c r="C186" s="42" t="s">
        <v>357</v>
      </c>
      <c r="D186" s="36">
        <v>3.15</v>
      </c>
      <c r="E186" s="161">
        <v>0</v>
      </c>
      <c r="F186" s="11">
        <f>D186*(1-Cennik[[#This Row],[RABAT]])*(1-$C$324)</f>
        <v>3.15</v>
      </c>
      <c r="G186" s="85"/>
      <c r="H186" s="57">
        <f t="shared" si="9"/>
        <v>0</v>
      </c>
      <c r="I186" s="166">
        <f t="shared" si="10"/>
        <v>13.860000000000001</v>
      </c>
      <c r="K186" s="175">
        <v>0.3</v>
      </c>
      <c r="L186" s="176">
        <f t="shared" si="12"/>
        <v>0</v>
      </c>
      <c r="M186" s="7"/>
    </row>
    <row r="187" spans="2:13" x14ac:dyDescent="0.25">
      <c r="B187" s="5" t="s">
        <v>197</v>
      </c>
      <c r="C187" s="42" t="s">
        <v>103</v>
      </c>
      <c r="D187" s="36">
        <v>0.47</v>
      </c>
      <c r="E187" s="161">
        <v>0</v>
      </c>
      <c r="F187" s="11">
        <f>D187*(1-Cennik[[#This Row],[RABAT]])*(1-$C$324)</f>
        <v>0.47</v>
      </c>
      <c r="G187" s="85"/>
      <c r="H187" s="57">
        <f t="shared" si="9"/>
        <v>0</v>
      </c>
      <c r="I187" s="166">
        <f t="shared" si="10"/>
        <v>2.0680000000000001</v>
      </c>
      <c r="K187" s="175">
        <v>8.0000000000000002E-3</v>
      </c>
      <c r="L187" s="176">
        <f t="shared" si="12"/>
        <v>0</v>
      </c>
      <c r="M187" s="7"/>
    </row>
    <row r="188" spans="2:13" x14ac:dyDescent="0.25">
      <c r="B188" s="5" t="s">
        <v>198</v>
      </c>
      <c r="C188" s="42" t="s">
        <v>358</v>
      </c>
      <c r="D188" s="36">
        <v>5.03</v>
      </c>
      <c r="E188" s="161">
        <v>0</v>
      </c>
      <c r="F188" s="11">
        <f>D188*(1-Cennik[[#This Row],[RABAT]])*(1-$C$324)</f>
        <v>5.03</v>
      </c>
      <c r="G188" s="85"/>
      <c r="H188" s="57">
        <f t="shared" si="9"/>
        <v>0</v>
      </c>
      <c r="I188" s="166">
        <f t="shared" si="10"/>
        <v>22.132000000000001</v>
      </c>
      <c r="K188" s="175">
        <v>0.17799999999999999</v>
      </c>
      <c r="L188" s="176">
        <f t="shared" si="12"/>
        <v>0</v>
      </c>
      <c r="M188" s="7"/>
    </row>
    <row r="189" spans="2:13" x14ac:dyDescent="0.25">
      <c r="B189" s="5" t="s">
        <v>199</v>
      </c>
      <c r="C189" s="42" t="s">
        <v>104</v>
      </c>
      <c r="D189" s="37">
        <v>1.57</v>
      </c>
      <c r="E189" s="161">
        <v>0</v>
      </c>
      <c r="F189" s="11">
        <f>D189*(1-Cennik[[#This Row],[RABAT]])*(1-$C$324)</f>
        <v>1.57</v>
      </c>
      <c r="G189" s="85"/>
      <c r="H189" s="57">
        <f t="shared" si="9"/>
        <v>0</v>
      </c>
      <c r="I189" s="166">
        <f t="shared" si="10"/>
        <v>6.9080000000000013</v>
      </c>
      <c r="K189" s="175">
        <v>7.3999999999999996E-2</v>
      </c>
      <c r="L189" s="176">
        <f t="shared" si="12"/>
        <v>0</v>
      </c>
      <c r="M189" s="7"/>
    </row>
    <row r="190" spans="2:13" x14ac:dyDescent="0.25">
      <c r="B190" s="5" t="s">
        <v>200</v>
      </c>
      <c r="C190" s="42" t="s">
        <v>105</v>
      </c>
      <c r="D190" s="37">
        <v>1.3</v>
      </c>
      <c r="E190" s="161">
        <v>0</v>
      </c>
      <c r="F190" s="11">
        <f>D190*(1-Cennik[[#This Row],[RABAT]])*(1-$C$324)</f>
        <v>1.3</v>
      </c>
      <c r="G190" s="85"/>
      <c r="H190" s="57">
        <f t="shared" si="9"/>
        <v>0</v>
      </c>
      <c r="I190" s="166">
        <f t="shared" si="10"/>
        <v>5.7200000000000006</v>
      </c>
      <c r="K190" s="175">
        <v>4.8000000000000001E-2</v>
      </c>
      <c r="L190" s="176">
        <f t="shared" si="12"/>
        <v>0</v>
      </c>
      <c r="M190" s="7"/>
    </row>
    <row r="191" spans="2:13" x14ac:dyDescent="0.25">
      <c r="B191" s="5" t="s">
        <v>201</v>
      </c>
      <c r="C191" s="42" t="s">
        <v>106</v>
      </c>
      <c r="D191" s="36">
        <v>6.7</v>
      </c>
      <c r="E191" s="161">
        <v>0</v>
      </c>
      <c r="F191" s="11">
        <f>D191*(1-Cennik[[#This Row],[RABAT]])*(1-$C$324)</f>
        <v>6.7</v>
      </c>
      <c r="G191" s="85"/>
      <c r="H191" s="57">
        <f t="shared" si="9"/>
        <v>0</v>
      </c>
      <c r="I191" s="166">
        <f t="shared" si="10"/>
        <v>29.480000000000004</v>
      </c>
      <c r="K191" s="175">
        <v>0.126</v>
      </c>
      <c r="L191" s="176">
        <f t="shared" si="12"/>
        <v>0</v>
      </c>
      <c r="M191" s="7"/>
    </row>
    <row r="192" spans="2:13" x14ac:dyDescent="0.25">
      <c r="B192" s="5" t="s">
        <v>202</v>
      </c>
      <c r="C192" s="42" t="s">
        <v>107</v>
      </c>
      <c r="D192" s="36">
        <v>3.15</v>
      </c>
      <c r="E192" s="161">
        <v>0</v>
      </c>
      <c r="F192" s="11">
        <f>D192*(1-Cennik[[#This Row],[RABAT]])*(1-$C$324)</f>
        <v>3.15</v>
      </c>
      <c r="G192" s="85"/>
      <c r="H192" s="57">
        <f t="shared" si="9"/>
        <v>0</v>
      </c>
      <c r="I192" s="166">
        <f t="shared" si="10"/>
        <v>13.860000000000001</v>
      </c>
      <c r="K192" s="175">
        <v>7.0000000000000007E-2</v>
      </c>
      <c r="L192" s="176">
        <f t="shared" si="12"/>
        <v>0</v>
      </c>
      <c r="M192" s="7"/>
    </row>
    <row r="193" spans="2:15" x14ac:dyDescent="0.25">
      <c r="B193" s="5" t="s">
        <v>203</v>
      </c>
      <c r="C193" s="42" t="s">
        <v>108</v>
      </c>
      <c r="D193" s="36">
        <v>3.15</v>
      </c>
      <c r="E193" s="161">
        <v>0</v>
      </c>
      <c r="F193" s="11">
        <f>D193*(1-Cennik[[#This Row],[RABAT]])*(1-$C$324)</f>
        <v>3.15</v>
      </c>
      <c r="G193" s="85"/>
      <c r="H193" s="57">
        <f t="shared" si="9"/>
        <v>0</v>
      </c>
      <c r="I193" s="166">
        <f t="shared" si="10"/>
        <v>13.860000000000001</v>
      </c>
      <c r="K193" s="175">
        <v>9.4E-2</v>
      </c>
      <c r="L193" s="176">
        <f t="shared" si="12"/>
        <v>0</v>
      </c>
      <c r="M193" s="7"/>
    </row>
    <row r="194" spans="2:15" x14ac:dyDescent="0.25">
      <c r="B194" s="5" t="s">
        <v>204</v>
      </c>
      <c r="C194" s="42" t="s">
        <v>109</v>
      </c>
      <c r="D194" s="36">
        <v>0.32</v>
      </c>
      <c r="E194" s="161">
        <v>0</v>
      </c>
      <c r="F194" s="11">
        <f>D194*(1-Cennik[[#This Row],[RABAT]])*(1-$C$324)</f>
        <v>0.32</v>
      </c>
      <c r="G194" s="85"/>
      <c r="H194" s="57">
        <f t="shared" si="9"/>
        <v>0</v>
      </c>
      <c r="I194" s="166">
        <f t="shared" si="10"/>
        <v>1.4080000000000001</v>
      </c>
      <c r="K194" s="175">
        <v>2.1999999999999999E-2</v>
      </c>
      <c r="L194" s="176">
        <f t="shared" si="12"/>
        <v>0</v>
      </c>
      <c r="M194" s="7"/>
    </row>
    <row r="195" spans="2:15" x14ac:dyDescent="0.25">
      <c r="B195" s="5" t="s">
        <v>204</v>
      </c>
      <c r="C195" s="42" t="s">
        <v>110</v>
      </c>
      <c r="D195" s="36">
        <v>0.32</v>
      </c>
      <c r="E195" s="161">
        <v>0</v>
      </c>
      <c r="F195" s="11">
        <f>D195*(1-Cennik[[#This Row],[RABAT]])*(1-$C$324)</f>
        <v>0.32</v>
      </c>
      <c r="G195" s="85"/>
      <c r="H195" s="57">
        <f t="shared" si="9"/>
        <v>0</v>
      </c>
      <c r="I195" s="166">
        <f t="shared" si="10"/>
        <v>1.4080000000000001</v>
      </c>
      <c r="K195" s="175">
        <v>2.1999999999999999E-2</v>
      </c>
      <c r="L195" s="176">
        <f t="shared" si="12"/>
        <v>0</v>
      </c>
      <c r="M195" s="7"/>
    </row>
    <row r="196" spans="2:15" x14ac:dyDescent="0.25">
      <c r="B196" s="5" t="s">
        <v>205</v>
      </c>
      <c r="C196" s="42" t="s">
        <v>359</v>
      </c>
      <c r="D196" s="36">
        <v>0.95</v>
      </c>
      <c r="E196" s="161">
        <v>0</v>
      </c>
      <c r="F196" s="11">
        <f>D196*(1-Cennik[[#This Row],[RABAT]])*(1-$C$324)</f>
        <v>0.95</v>
      </c>
      <c r="G196" s="85"/>
      <c r="H196" s="57">
        <f t="shared" si="9"/>
        <v>0</v>
      </c>
      <c r="I196" s="166">
        <f t="shared" si="10"/>
        <v>4.18</v>
      </c>
      <c r="K196" s="175"/>
      <c r="L196" s="176">
        <f t="shared" si="12"/>
        <v>0</v>
      </c>
      <c r="M196" s="7"/>
    </row>
    <row r="197" spans="2:15" x14ac:dyDescent="0.25">
      <c r="B197" s="5" t="s">
        <v>206</v>
      </c>
      <c r="C197" s="42" t="s">
        <v>360</v>
      </c>
      <c r="D197" s="36">
        <v>7.16</v>
      </c>
      <c r="E197" s="161">
        <v>0</v>
      </c>
      <c r="F197" s="11">
        <f>D197*(1-Cennik[[#This Row],[RABAT]])*(1-$C$324)</f>
        <v>7.16</v>
      </c>
      <c r="G197" s="85"/>
      <c r="H197" s="57">
        <f t="shared" si="9"/>
        <v>0</v>
      </c>
      <c r="I197" s="166">
        <f t="shared" si="10"/>
        <v>31.504000000000005</v>
      </c>
      <c r="K197" s="175">
        <v>0.98799999999999999</v>
      </c>
      <c r="L197" s="176">
        <f t="shared" si="12"/>
        <v>0</v>
      </c>
      <c r="M197" s="7"/>
    </row>
    <row r="198" spans="2:15" x14ac:dyDescent="0.25">
      <c r="B198" s="5" t="s">
        <v>206</v>
      </c>
      <c r="C198" s="42" t="s">
        <v>361</v>
      </c>
      <c r="D198" s="36">
        <v>7.16</v>
      </c>
      <c r="E198" s="161">
        <v>0</v>
      </c>
      <c r="F198" s="11">
        <f>D198*(1-Cennik[[#This Row],[RABAT]])*(1-$C$324)</f>
        <v>7.16</v>
      </c>
      <c r="G198" s="85"/>
      <c r="H198" s="57">
        <f t="shared" si="9"/>
        <v>0</v>
      </c>
      <c r="I198" s="166">
        <f t="shared" si="10"/>
        <v>31.504000000000005</v>
      </c>
      <c r="K198" s="175">
        <v>0.98799999999999999</v>
      </c>
      <c r="L198" s="176">
        <f t="shared" si="12"/>
        <v>0</v>
      </c>
      <c r="M198" s="7"/>
    </row>
    <row r="199" spans="2:15" x14ac:dyDescent="0.25">
      <c r="B199" s="5" t="s">
        <v>207</v>
      </c>
      <c r="C199" s="42" t="s">
        <v>362</v>
      </c>
      <c r="D199" s="37">
        <v>19.5</v>
      </c>
      <c r="E199" s="161">
        <v>0</v>
      </c>
      <c r="F199" s="11">
        <f>D199*(1-Cennik[[#This Row],[RABAT]])*(1-$C$324)</f>
        <v>19.5</v>
      </c>
      <c r="G199" s="85"/>
      <c r="H199" s="57">
        <f t="shared" si="9"/>
        <v>0</v>
      </c>
      <c r="I199" s="166">
        <f t="shared" si="10"/>
        <v>85.800000000000011</v>
      </c>
      <c r="K199" s="175">
        <v>1.268</v>
      </c>
      <c r="L199" s="176">
        <f t="shared" si="12"/>
        <v>0</v>
      </c>
      <c r="M199" s="7"/>
      <c r="O199" s="149"/>
    </row>
    <row r="200" spans="2:15" x14ac:dyDescent="0.25">
      <c r="B200" s="5" t="s">
        <v>207</v>
      </c>
      <c r="C200" s="42" t="s">
        <v>363</v>
      </c>
      <c r="D200" s="37">
        <v>19.5</v>
      </c>
      <c r="E200" s="161">
        <v>0</v>
      </c>
      <c r="F200" s="11">
        <f>D200*(1-Cennik[[#This Row],[RABAT]])*(1-$C$324)</f>
        <v>19.5</v>
      </c>
      <c r="G200" s="85"/>
      <c r="H200" s="57">
        <f t="shared" si="9"/>
        <v>0</v>
      </c>
      <c r="I200" s="166">
        <f t="shared" si="10"/>
        <v>85.800000000000011</v>
      </c>
      <c r="K200" s="175">
        <v>1.268</v>
      </c>
      <c r="L200" s="176">
        <f t="shared" si="12"/>
        <v>0</v>
      </c>
      <c r="M200" s="7"/>
      <c r="O200" s="149"/>
    </row>
    <row r="201" spans="2:15" ht="15" customHeight="1" x14ac:dyDescent="0.25">
      <c r="B201" s="9" t="s">
        <v>208</v>
      </c>
      <c r="C201" s="10" t="s">
        <v>111</v>
      </c>
      <c r="D201" s="11">
        <v>1.85</v>
      </c>
      <c r="E201" s="161">
        <v>0</v>
      </c>
      <c r="F201" s="11">
        <f>D201*(1-Cennik[[#This Row],[RABAT]])*(1-$C$324)</f>
        <v>1.85</v>
      </c>
      <c r="G201" s="85"/>
      <c r="H201" s="57">
        <f t="shared" ref="H201:H264" si="13">G201*F201</f>
        <v>0</v>
      </c>
      <c r="I201" s="166">
        <f t="shared" ref="I201:I264" si="14">$C$323*F201</f>
        <v>8.14</v>
      </c>
      <c r="K201" s="175">
        <v>0.6</v>
      </c>
      <c r="L201" s="176">
        <f t="shared" si="12"/>
        <v>0</v>
      </c>
      <c r="M201" s="7"/>
    </row>
    <row r="202" spans="2:15" ht="15" customHeight="1" x14ac:dyDescent="0.25">
      <c r="B202" s="9" t="s">
        <v>208</v>
      </c>
      <c r="C202" s="10" t="s">
        <v>312</v>
      </c>
      <c r="D202" s="11">
        <v>5.87</v>
      </c>
      <c r="E202" s="161">
        <v>0</v>
      </c>
      <c r="F202" s="11">
        <f>D202*(1-Cennik[[#This Row],[RABAT]])*(1-$C$324)</f>
        <v>5.87</v>
      </c>
      <c r="G202" s="85"/>
      <c r="H202" s="57">
        <f t="shared" si="13"/>
        <v>0</v>
      </c>
      <c r="I202" s="166">
        <f t="shared" si="14"/>
        <v>25.828000000000003</v>
      </c>
      <c r="K202" s="175"/>
      <c r="L202" s="176">
        <f t="shared" si="12"/>
        <v>0</v>
      </c>
      <c r="M202" s="7"/>
    </row>
    <row r="203" spans="2:15" ht="15" customHeight="1" x14ac:dyDescent="0.25">
      <c r="B203" s="9" t="s">
        <v>208</v>
      </c>
      <c r="C203" s="100" t="s">
        <v>112</v>
      </c>
      <c r="D203" s="41">
        <v>7.04</v>
      </c>
      <c r="E203" s="161">
        <v>0</v>
      </c>
      <c r="F203" s="11">
        <f>D203*(1-Cennik[[#This Row],[RABAT]])*(1-$C$324)</f>
        <v>7.04</v>
      </c>
      <c r="G203" s="85"/>
      <c r="H203" s="57">
        <f t="shared" si="13"/>
        <v>0</v>
      </c>
      <c r="I203" s="166">
        <f t="shared" si="14"/>
        <v>30.976000000000003</v>
      </c>
      <c r="K203" s="175">
        <v>0.126</v>
      </c>
      <c r="L203" s="176">
        <f t="shared" si="12"/>
        <v>0</v>
      </c>
      <c r="M203" s="7"/>
    </row>
    <row r="204" spans="2:15" x14ac:dyDescent="0.25">
      <c r="B204" s="5" t="s">
        <v>209</v>
      </c>
      <c r="C204" s="39" t="s">
        <v>364</v>
      </c>
      <c r="D204" s="40">
        <v>9.39</v>
      </c>
      <c r="E204" s="161">
        <v>0</v>
      </c>
      <c r="F204" s="11">
        <f>D204*(1-Cennik[[#This Row],[RABAT]])*(1-$C$324)</f>
        <v>9.39</v>
      </c>
      <c r="G204" s="85"/>
      <c r="H204" s="57">
        <f t="shared" si="13"/>
        <v>0</v>
      </c>
      <c r="I204" s="166">
        <f t="shared" si="14"/>
        <v>41.316000000000003</v>
      </c>
      <c r="K204" s="175">
        <v>0.90800000000000003</v>
      </c>
      <c r="L204" s="176">
        <f t="shared" si="12"/>
        <v>0</v>
      </c>
      <c r="M204" s="7"/>
    </row>
    <row r="205" spans="2:15" x14ac:dyDescent="0.25">
      <c r="B205" s="5" t="s">
        <v>210</v>
      </c>
      <c r="C205" s="39" t="s">
        <v>365</v>
      </c>
      <c r="D205" s="40">
        <v>46.81</v>
      </c>
      <c r="E205" s="161">
        <v>0</v>
      </c>
      <c r="F205" s="11">
        <f>D205*(1-Cennik[[#This Row],[RABAT]])*(1-$C$324)</f>
        <v>46.81</v>
      </c>
      <c r="G205" s="85"/>
      <c r="H205" s="57">
        <f t="shared" si="13"/>
        <v>0</v>
      </c>
      <c r="I205" s="166">
        <f t="shared" si="14"/>
        <v>205.96400000000003</v>
      </c>
      <c r="K205" s="175">
        <v>3.85</v>
      </c>
      <c r="L205" s="176">
        <f t="shared" si="12"/>
        <v>0</v>
      </c>
      <c r="M205" s="7"/>
    </row>
    <row r="206" spans="2:15" x14ac:dyDescent="0.25">
      <c r="B206" s="5" t="s">
        <v>210</v>
      </c>
      <c r="C206" s="39" t="s">
        <v>113</v>
      </c>
      <c r="D206" s="40">
        <v>67.5</v>
      </c>
      <c r="E206" s="161">
        <v>0</v>
      </c>
      <c r="F206" s="11">
        <f>D206*(1-Cennik[[#This Row],[RABAT]])*(1-$C$324)</f>
        <v>67.5</v>
      </c>
      <c r="G206" s="85"/>
      <c r="H206" s="57">
        <f t="shared" si="13"/>
        <v>0</v>
      </c>
      <c r="I206" s="166">
        <f t="shared" si="14"/>
        <v>297</v>
      </c>
      <c r="K206" s="175">
        <v>4.2699999999999996</v>
      </c>
      <c r="L206" s="176">
        <f t="shared" ref="L206:L237" si="15">G206*K206</f>
        <v>0</v>
      </c>
      <c r="M206" s="7"/>
    </row>
    <row r="207" spans="2:15" x14ac:dyDescent="0.25">
      <c r="B207" s="5" t="s">
        <v>210</v>
      </c>
      <c r="C207" s="39" t="s">
        <v>366</v>
      </c>
      <c r="D207" s="40">
        <v>49.9</v>
      </c>
      <c r="E207" s="161">
        <v>0</v>
      </c>
      <c r="F207" s="11">
        <f>D207*(1-Cennik[[#This Row],[RABAT]])*(1-$C$324)</f>
        <v>49.9</v>
      </c>
      <c r="G207" s="85"/>
      <c r="H207" s="57">
        <f t="shared" si="13"/>
        <v>0</v>
      </c>
      <c r="I207" s="166">
        <f t="shared" si="14"/>
        <v>219.56</v>
      </c>
      <c r="K207" s="175">
        <v>2.008</v>
      </c>
      <c r="L207" s="176">
        <f t="shared" si="15"/>
        <v>0</v>
      </c>
      <c r="M207" s="7"/>
    </row>
    <row r="208" spans="2:15" x14ac:dyDescent="0.25">
      <c r="B208" s="5" t="s">
        <v>211</v>
      </c>
      <c r="C208" s="39" t="s">
        <v>367</v>
      </c>
      <c r="D208" s="40">
        <v>11.74</v>
      </c>
      <c r="E208" s="161">
        <v>0</v>
      </c>
      <c r="F208" s="11">
        <f>D208*(1-Cennik[[#This Row],[RABAT]])*(1-$C$324)</f>
        <v>11.74</v>
      </c>
      <c r="G208" s="85"/>
      <c r="H208" s="57">
        <f t="shared" si="13"/>
        <v>0</v>
      </c>
      <c r="I208" s="166">
        <f t="shared" si="14"/>
        <v>51.656000000000006</v>
      </c>
      <c r="K208" s="175">
        <v>0.97199999999999998</v>
      </c>
      <c r="L208" s="176">
        <f t="shared" si="15"/>
        <v>0</v>
      </c>
      <c r="M208" s="7"/>
    </row>
    <row r="209" spans="2:13" x14ac:dyDescent="0.25">
      <c r="B209" s="5" t="s">
        <v>211</v>
      </c>
      <c r="C209" s="39" t="s">
        <v>368</v>
      </c>
      <c r="D209" s="40">
        <v>11.74</v>
      </c>
      <c r="E209" s="161">
        <v>0</v>
      </c>
      <c r="F209" s="11">
        <f>D209*(1-Cennik[[#This Row],[RABAT]])*(1-$C$324)</f>
        <v>11.74</v>
      </c>
      <c r="G209" s="85"/>
      <c r="H209" s="57">
        <f t="shared" si="13"/>
        <v>0</v>
      </c>
      <c r="I209" s="166">
        <f t="shared" si="14"/>
        <v>51.656000000000006</v>
      </c>
      <c r="K209" s="175">
        <v>0.97199999999999998</v>
      </c>
      <c r="L209" s="176">
        <f t="shared" si="15"/>
        <v>0</v>
      </c>
      <c r="M209" s="7"/>
    </row>
    <row r="210" spans="2:13" x14ac:dyDescent="0.25">
      <c r="B210" s="5" t="s">
        <v>212</v>
      </c>
      <c r="C210" s="39" t="s">
        <v>369</v>
      </c>
      <c r="D210" s="40">
        <v>40.5</v>
      </c>
      <c r="E210" s="161">
        <v>0</v>
      </c>
      <c r="F210" s="11">
        <f>D210*(1-Cennik[[#This Row],[RABAT]])*(1-$C$324)</f>
        <v>40.5</v>
      </c>
      <c r="G210" s="85"/>
      <c r="H210" s="57">
        <f t="shared" si="13"/>
        <v>0</v>
      </c>
      <c r="I210" s="166">
        <f t="shared" si="14"/>
        <v>178.20000000000002</v>
      </c>
      <c r="K210" s="175">
        <v>4.5</v>
      </c>
      <c r="L210" s="176">
        <f t="shared" si="15"/>
        <v>0</v>
      </c>
      <c r="M210" s="7"/>
    </row>
    <row r="211" spans="2:13" x14ac:dyDescent="0.25">
      <c r="B211" s="5" t="s">
        <v>213</v>
      </c>
      <c r="C211" s="39" t="s">
        <v>114</v>
      </c>
      <c r="D211" s="40">
        <v>29.35</v>
      </c>
      <c r="E211" s="161">
        <v>0</v>
      </c>
      <c r="F211" s="11">
        <f>D211*(1-Cennik[[#This Row],[RABAT]])*(1-$C$324)</f>
        <v>29.35</v>
      </c>
      <c r="G211" s="85"/>
      <c r="H211" s="57">
        <f t="shared" si="13"/>
        <v>0</v>
      </c>
      <c r="I211" s="166">
        <f t="shared" si="14"/>
        <v>129.14000000000001</v>
      </c>
      <c r="K211" s="175">
        <v>3.5</v>
      </c>
      <c r="L211" s="176">
        <f t="shared" si="15"/>
        <v>0</v>
      </c>
      <c r="M211" s="7"/>
    </row>
    <row r="212" spans="2:13" x14ac:dyDescent="0.25">
      <c r="B212" s="5" t="s">
        <v>214</v>
      </c>
      <c r="C212" s="39" t="s">
        <v>370</v>
      </c>
      <c r="D212" s="40">
        <v>26.41</v>
      </c>
      <c r="E212" s="161">
        <v>0</v>
      </c>
      <c r="F212" s="11">
        <f>D212*(1-Cennik[[#This Row],[RABAT]])*(1-$C$324)</f>
        <v>26.41</v>
      </c>
      <c r="G212" s="85"/>
      <c r="H212" s="57">
        <f t="shared" si="13"/>
        <v>0</v>
      </c>
      <c r="I212" s="166">
        <f t="shared" si="14"/>
        <v>116.20400000000001</v>
      </c>
      <c r="K212" s="175">
        <v>3.5</v>
      </c>
      <c r="L212" s="176">
        <f t="shared" si="15"/>
        <v>0</v>
      </c>
      <c r="M212" s="7"/>
    </row>
    <row r="213" spans="2:13" x14ac:dyDescent="0.25">
      <c r="B213" s="5" t="s">
        <v>215</v>
      </c>
      <c r="C213" s="39" t="s">
        <v>115</v>
      </c>
      <c r="D213" s="40">
        <v>12.91</v>
      </c>
      <c r="E213" s="161">
        <v>0</v>
      </c>
      <c r="F213" s="11">
        <f>D213*(1-Cennik[[#This Row],[RABAT]])*(1-$C$324)</f>
        <v>12.91</v>
      </c>
      <c r="G213" s="85"/>
      <c r="H213" s="57">
        <f t="shared" si="13"/>
        <v>0</v>
      </c>
      <c r="I213" s="166">
        <f t="shared" si="14"/>
        <v>56.804000000000002</v>
      </c>
      <c r="K213" s="175">
        <v>1.2</v>
      </c>
      <c r="L213" s="176">
        <f t="shared" si="15"/>
        <v>0</v>
      </c>
      <c r="M213" s="7"/>
    </row>
    <row r="214" spans="2:13" x14ac:dyDescent="0.25">
      <c r="B214" s="5" t="s">
        <v>210</v>
      </c>
      <c r="C214" s="39" t="s">
        <v>371</v>
      </c>
      <c r="D214" s="40">
        <v>40.5</v>
      </c>
      <c r="E214" s="161">
        <v>0</v>
      </c>
      <c r="F214" s="11">
        <f>D214*(1-Cennik[[#This Row],[RABAT]])*(1-$C$324)</f>
        <v>40.5</v>
      </c>
      <c r="G214" s="85"/>
      <c r="H214" s="57">
        <f t="shared" si="13"/>
        <v>0</v>
      </c>
      <c r="I214" s="166">
        <f t="shared" si="14"/>
        <v>178.20000000000002</v>
      </c>
      <c r="K214" s="175"/>
      <c r="L214" s="176">
        <f t="shared" si="15"/>
        <v>0</v>
      </c>
      <c r="M214" s="7"/>
    </row>
    <row r="215" spans="2:13" x14ac:dyDescent="0.25">
      <c r="B215" s="5" t="s">
        <v>211</v>
      </c>
      <c r="C215" s="39" t="s">
        <v>372</v>
      </c>
      <c r="D215" s="40">
        <v>58.7</v>
      </c>
      <c r="E215" s="161">
        <v>0</v>
      </c>
      <c r="F215" s="11">
        <f>D215*(1-Cennik[[#This Row],[RABAT]])*(1-$C$324)</f>
        <v>58.7</v>
      </c>
      <c r="G215" s="85"/>
      <c r="H215" s="57">
        <f t="shared" si="13"/>
        <v>0</v>
      </c>
      <c r="I215" s="166">
        <f t="shared" si="14"/>
        <v>258.28000000000003</v>
      </c>
      <c r="K215" s="175"/>
      <c r="L215" s="176">
        <f t="shared" si="15"/>
        <v>0</v>
      </c>
      <c r="M215" s="7"/>
    </row>
    <row r="216" spans="2:13" x14ac:dyDescent="0.25">
      <c r="B216" s="9" t="s">
        <v>216</v>
      </c>
      <c r="C216" s="100" t="s">
        <v>116</v>
      </c>
      <c r="D216" s="41">
        <v>0.56000000000000005</v>
      </c>
      <c r="E216" s="161">
        <v>0</v>
      </c>
      <c r="F216" s="11">
        <f>D216*(1-Cennik[[#This Row],[RABAT]])*(1-$C$324)</f>
        <v>0.56000000000000005</v>
      </c>
      <c r="G216" s="85"/>
      <c r="H216" s="57">
        <f t="shared" si="13"/>
        <v>0</v>
      </c>
      <c r="I216" s="166">
        <f t="shared" si="14"/>
        <v>2.4640000000000004</v>
      </c>
      <c r="K216" s="175"/>
      <c r="L216" s="176">
        <f t="shared" si="15"/>
        <v>0</v>
      </c>
      <c r="M216" s="7"/>
    </row>
    <row r="217" spans="2:13" x14ac:dyDescent="0.25">
      <c r="B217" s="9" t="s">
        <v>217</v>
      </c>
      <c r="C217" s="121" t="s">
        <v>117</v>
      </c>
      <c r="D217" s="41">
        <v>12.27</v>
      </c>
      <c r="E217" s="161">
        <v>0</v>
      </c>
      <c r="F217" s="11">
        <f>D217*(1-Cennik[[#This Row],[RABAT]])*(1-$C$324)</f>
        <v>12.27</v>
      </c>
      <c r="G217" s="85"/>
      <c r="H217" s="57">
        <f t="shared" si="13"/>
        <v>0</v>
      </c>
      <c r="I217" s="166">
        <f t="shared" si="14"/>
        <v>53.988</v>
      </c>
      <c r="K217" s="175"/>
      <c r="L217" s="176">
        <f t="shared" si="15"/>
        <v>0</v>
      </c>
      <c r="M217" s="7"/>
    </row>
    <row r="218" spans="2:13" x14ac:dyDescent="0.25">
      <c r="B218" s="9" t="s">
        <v>217</v>
      </c>
      <c r="C218" s="122"/>
      <c r="D218" s="41">
        <v>12.27</v>
      </c>
      <c r="E218" s="161">
        <v>0</v>
      </c>
      <c r="F218" s="11">
        <f>D218*(1-Cennik[[#This Row],[RABAT]])*(1-$C$324)</f>
        <v>12.27</v>
      </c>
      <c r="G218" s="85"/>
      <c r="H218" s="57">
        <f t="shared" si="13"/>
        <v>0</v>
      </c>
      <c r="I218" s="166">
        <f t="shared" si="14"/>
        <v>53.988</v>
      </c>
      <c r="K218" s="175"/>
      <c r="L218" s="176">
        <f t="shared" si="15"/>
        <v>0</v>
      </c>
      <c r="M218" s="7"/>
    </row>
    <row r="219" spans="2:13" x14ac:dyDescent="0.25">
      <c r="B219" s="9" t="s">
        <v>217</v>
      </c>
      <c r="C219" s="123"/>
      <c r="D219" s="41">
        <v>12.27</v>
      </c>
      <c r="E219" s="161">
        <v>0</v>
      </c>
      <c r="F219" s="11">
        <f>D219*(1-Cennik[[#This Row],[RABAT]])*(1-$C$324)</f>
        <v>12.27</v>
      </c>
      <c r="G219" s="85"/>
      <c r="H219" s="57">
        <f t="shared" si="13"/>
        <v>0</v>
      </c>
      <c r="I219" s="166">
        <f t="shared" si="14"/>
        <v>53.988</v>
      </c>
      <c r="K219" s="175"/>
      <c r="L219" s="176">
        <f t="shared" si="15"/>
        <v>0</v>
      </c>
      <c r="M219" s="7"/>
    </row>
    <row r="220" spans="2:13" x14ac:dyDescent="0.25">
      <c r="B220" s="9" t="s">
        <v>218</v>
      </c>
      <c r="C220" s="121" t="s">
        <v>118</v>
      </c>
      <c r="D220" s="41">
        <v>9.23</v>
      </c>
      <c r="E220" s="161">
        <v>0</v>
      </c>
      <c r="F220" s="11">
        <f>D220*(1-Cennik[[#This Row],[RABAT]])*(1-$C$324)</f>
        <v>9.23</v>
      </c>
      <c r="G220" s="85"/>
      <c r="H220" s="57">
        <f t="shared" si="13"/>
        <v>0</v>
      </c>
      <c r="I220" s="166">
        <f t="shared" si="14"/>
        <v>40.612000000000002</v>
      </c>
      <c r="K220" s="175">
        <v>6.54E-2</v>
      </c>
      <c r="L220" s="176">
        <f t="shared" si="15"/>
        <v>0</v>
      </c>
      <c r="M220" s="7"/>
    </row>
    <row r="221" spans="2:13" x14ac:dyDescent="0.25">
      <c r="B221" s="9" t="s">
        <v>218</v>
      </c>
      <c r="C221" s="122"/>
      <c r="D221" s="41">
        <v>9.8000000000000007</v>
      </c>
      <c r="E221" s="161">
        <v>0</v>
      </c>
      <c r="F221" s="11">
        <f>D221*(1-Cennik[[#This Row],[RABAT]])*(1-$C$324)</f>
        <v>9.8000000000000007</v>
      </c>
      <c r="G221" s="85"/>
      <c r="H221" s="57">
        <f t="shared" si="13"/>
        <v>0</v>
      </c>
      <c r="I221" s="166">
        <f t="shared" si="14"/>
        <v>43.120000000000005</v>
      </c>
      <c r="K221" s="175">
        <v>6.54E-2</v>
      </c>
      <c r="L221" s="176">
        <f t="shared" si="15"/>
        <v>0</v>
      </c>
      <c r="M221" s="7"/>
    </row>
    <row r="222" spans="2:13" x14ac:dyDescent="0.25">
      <c r="B222" s="9" t="s">
        <v>218</v>
      </c>
      <c r="C222" s="122"/>
      <c r="D222" s="41">
        <v>10.38</v>
      </c>
      <c r="E222" s="161">
        <v>0</v>
      </c>
      <c r="F222" s="11">
        <f>D222*(1-Cennik[[#This Row],[RABAT]])*(1-$C$324)</f>
        <v>10.38</v>
      </c>
      <c r="G222" s="85"/>
      <c r="H222" s="57">
        <f t="shared" si="13"/>
        <v>0</v>
      </c>
      <c r="I222" s="166">
        <f t="shared" si="14"/>
        <v>45.672000000000004</v>
      </c>
      <c r="K222" s="175">
        <v>6.54E-2</v>
      </c>
      <c r="L222" s="176">
        <f t="shared" si="15"/>
        <v>0</v>
      </c>
      <c r="M222" s="7"/>
    </row>
    <row r="223" spans="2:13" x14ac:dyDescent="0.25">
      <c r="B223" s="9" t="s">
        <v>218</v>
      </c>
      <c r="C223" s="122"/>
      <c r="D223" s="41">
        <v>10.96</v>
      </c>
      <c r="E223" s="161">
        <v>0</v>
      </c>
      <c r="F223" s="11">
        <f>D223*(1-Cennik[[#This Row],[RABAT]])*(1-$C$324)</f>
        <v>10.96</v>
      </c>
      <c r="G223" s="85"/>
      <c r="H223" s="57">
        <f t="shared" si="13"/>
        <v>0</v>
      </c>
      <c r="I223" s="166">
        <f t="shared" si="14"/>
        <v>48.224000000000011</v>
      </c>
      <c r="K223" s="175">
        <v>6.54E-2</v>
      </c>
      <c r="L223" s="176">
        <f t="shared" si="15"/>
        <v>0</v>
      </c>
      <c r="M223" s="7"/>
    </row>
    <row r="224" spans="2:13" x14ac:dyDescent="0.25">
      <c r="B224" s="9" t="s">
        <v>218</v>
      </c>
      <c r="C224" s="123"/>
      <c r="D224" s="41">
        <v>12.11</v>
      </c>
      <c r="E224" s="161">
        <v>0</v>
      </c>
      <c r="F224" s="11">
        <f>D224*(1-Cennik[[#This Row],[RABAT]])*(1-$C$324)</f>
        <v>12.11</v>
      </c>
      <c r="G224" s="85"/>
      <c r="H224" s="57">
        <f t="shared" si="13"/>
        <v>0</v>
      </c>
      <c r="I224" s="166">
        <f t="shared" si="14"/>
        <v>53.283999999999999</v>
      </c>
      <c r="K224" s="175">
        <v>6.54E-2</v>
      </c>
      <c r="L224" s="176">
        <f t="shared" si="15"/>
        <v>0</v>
      </c>
      <c r="M224" s="7"/>
    </row>
    <row r="225" spans="2:13" x14ac:dyDescent="0.25">
      <c r="B225" s="9" t="s">
        <v>219</v>
      </c>
      <c r="C225" s="100" t="s">
        <v>342</v>
      </c>
      <c r="D225" s="41">
        <v>61.46</v>
      </c>
      <c r="E225" s="161">
        <v>0</v>
      </c>
      <c r="F225" s="11">
        <f>D225*(1-Cennik[[#This Row],[RABAT]])*(1-$C$324)</f>
        <v>61.46</v>
      </c>
      <c r="G225" s="85"/>
      <c r="H225" s="57">
        <f t="shared" si="13"/>
        <v>0</v>
      </c>
      <c r="I225" s="166">
        <f t="shared" si="14"/>
        <v>270.42400000000004</v>
      </c>
      <c r="K225" s="175"/>
      <c r="L225" s="176">
        <f t="shared" si="15"/>
        <v>0</v>
      </c>
      <c r="M225" s="7"/>
    </row>
    <row r="226" spans="2:13" x14ac:dyDescent="0.25">
      <c r="B226" s="9" t="s">
        <v>219</v>
      </c>
      <c r="C226" s="100" t="s">
        <v>343</v>
      </c>
      <c r="D226" s="41">
        <v>34.950000000000003</v>
      </c>
      <c r="E226" s="161">
        <v>0</v>
      </c>
      <c r="F226" s="11">
        <f>D226*(1-Cennik[[#This Row],[RABAT]])*(1-$C$324)</f>
        <v>34.950000000000003</v>
      </c>
      <c r="G226" s="85"/>
      <c r="H226" s="57">
        <f t="shared" si="13"/>
        <v>0</v>
      </c>
      <c r="I226" s="166">
        <f t="shared" si="14"/>
        <v>153.78000000000003</v>
      </c>
      <c r="K226" s="175"/>
      <c r="L226" s="176">
        <f t="shared" si="15"/>
        <v>0</v>
      </c>
      <c r="M226" s="7"/>
    </row>
    <row r="227" spans="2:13" x14ac:dyDescent="0.25">
      <c r="B227" s="9" t="s">
        <v>220</v>
      </c>
      <c r="C227" s="100" t="s">
        <v>119</v>
      </c>
      <c r="D227" s="41">
        <v>53.36</v>
      </c>
      <c r="E227" s="161">
        <v>0</v>
      </c>
      <c r="F227" s="11">
        <f>D227*(1-Cennik[[#This Row],[RABAT]])*(1-$C$324)</f>
        <v>53.36</v>
      </c>
      <c r="G227" s="85"/>
      <c r="H227" s="57">
        <f t="shared" si="13"/>
        <v>0</v>
      </c>
      <c r="I227" s="166">
        <f t="shared" si="14"/>
        <v>234.78400000000002</v>
      </c>
      <c r="K227" s="175">
        <v>1.268</v>
      </c>
      <c r="L227" s="176">
        <f t="shared" si="15"/>
        <v>0</v>
      </c>
      <c r="M227" s="7"/>
    </row>
    <row r="228" spans="2:13" x14ac:dyDescent="0.25">
      <c r="B228" s="9" t="s">
        <v>201</v>
      </c>
      <c r="C228" s="100" t="s">
        <v>313</v>
      </c>
      <c r="D228" s="41">
        <v>6.87</v>
      </c>
      <c r="E228" s="161">
        <v>0</v>
      </c>
      <c r="F228" s="11">
        <f>D228*(1-Cennik[[#This Row],[RABAT]])*(1-$C$324)</f>
        <v>6.87</v>
      </c>
      <c r="G228" s="85"/>
      <c r="H228" s="57">
        <f t="shared" si="13"/>
        <v>0</v>
      </c>
      <c r="I228" s="166">
        <f t="shared" si="14"/>
        <v>30.228000000000002</v>
      </c>
      <c r="K228" s="175">
        <v>0.14000000000000001</v>
      </c>
      <c r="L228" s="176">
        <f t="shared" si="15"/>
        <v>0</v>
      </c>
      <c r="M228" s="7"/>
    </row>
    <row r="229" spans="2:13" x14ac:dyDescent="0.25">
      <c r="B229" s="9" t="s">
        <v>201</v>
      </c>
      <c r="C229" s="100" t="s">
        <v>120</v>
      </c>
      <c r="D229" s="41">
        <v>4.6900000000000004</v>
      </c>
      <c r="E229" s="161">
        <v>0</v>
      </c>
      <c r="F229" s="11">
        <f>D229*(1-Cennik[[#This Row],[RABAT]])*(1-$C$324)</f>
        <v>4.6900000000000004</v>
      </c>
      <c r="G229" s="85"/>
      <c r="H229" s="57">
        <f t="shared" si="13"/>
        <v>0</v>
      </c>
      <c r="I229" s="166">
        <f t="shared" si="14"/>
        <v>20.636000000000003</v>
      </c>
      <c r="K229" s="175">
        <v>0.16900000000000001</v>
      </c>
      <c r="L229" s="176">
        <f t="shared" si="15"/>
        <v>0</v>
      </c>
      <c r="M229" s="7"/>
    </row>
    <row r="230" spans="2:13" x14ac:dyDescent="0.25">
      <c r="B230" s="9" t="s">
        <v>201</v>
      </c>
      <c r="C230" s="10" t="s">
        <v>121</v>
      </c>
      <c r="D230" s="11">
        <v>3.91</v>
      </c>
      <c r="E230" s="161">
        <v>0</v>
      </c>
      <c r="F230" s="11">
        <f>D230*(1-Cennik[[#This Row],[RABAT]])*(1-$C$324)</f>
        <v>3.91</v>
      </c>
      <c r="G230" s="85"/>
      <c r="H230" s="57">
        <f t="shared" si="13"/>
        <v>0</v>
      </c>
      <c r="I230" s="166">
        <f t="shared" si="14"/>
        <v>17.204000000000001</v>
      </c>
      <c r="K230" s="175">
        <v>0.14000000000000001</v>
      </c>
      <c r="L230" s="176">
        <f t="shared" si="15"/>
        <v>0</v>
      </c>
      <c r="M230" s="7"/>
    </row>
    <row r="231" spans="2:13" x14ac:dyDescent="0.25">
      <c r="B231" s="9" t="s">
        <v>221</v>
      </c>
      <c r="C231" s="10" t="s">
        <v>122</v>
      </c>
      <c r="D231" s="11">
        <v>4.92</v>
      </c>
      <c r="E231" s="161">
        <v>0</v>
      </c>
      <c r="F231" s="11">
        <f>D231*(1-Cennik[[#This Row],[RABAT]])*(1-$C$324)</f>
        <v>4.92</v>
      </c>
      <c r="G231" s="85"/>
      <c r="H231" s="57">
        <f t="shared" si="13"/>
        <v>0</v>
      </c>
      <c r="I231" s="166">
        <f t="shared" si="14"/>
        <v>21.648</v>
      </c>
      <c r="K231" s="175">
        <v>7.0000000000000001E-3</v>
      </c>
      <c r="L231" s="176">
        <f t="shared" si="15"/>
        <v>0</v>
      </c>
      <c r="M231" s="7"/>
    </row>
    <row r="232" spans="2:13" x14ac:dyDescent="0.25">
      <c r="B232" s="9" t="s">
        <v>222</v>
      </c>
      <c r="C232" s="10" t="s">
        <v>123</v>
      </c>
      <c r="D232" s="11">
        <v>8.52</v>
      </c>
      <c r="E232" s="161">
        <v>0</v>
      </c>
      <c r="F232" s="11">
        <f>D232*(1-Cennik[[#This Row],[RABAT]])*(1-$C$324)</f>
        <v>8.52</v>
      </c>
      <c r="G232" s="85"/>
      <c r="H232" s="57">
        <f t="shared" si="13"/>
        <v>0</v>
      </c>
      <c r="I232" s="166">
        <f t="shared" si="14"/>
        <v>37.488</v>
      </c>
      <c r="K232" s="175">
        <v>0.26400000000000001</v>
      </c>
      <c r="L232" s="176">
        <f t="shared" si="15"/>
        <v>0</v>
      </c>
      <c r="M232" s="7"/>
    </row>
    <row r="233" spans="2:13" x14ac:dyDescent="0.25">
      <c r="B233" s="9" t="s">
        <v>222</v>
      </c>
      <c r="C233" s="10" t="s">
        <v>124</v>
      </c>
      <c r="D233" s="11">
        <v>11.95</v>
      </c>
      <c r="E233" s="161">
        <v>0</v>
      </c>
      <c r="F233" s="11">
        <f>D233*(1-Cennik[[#This Row],[RABAT]])*(1-$C$324)</f>
        <v>11.95</v>
      </c>
      <c r="G233" s="85"/>
      <c r="H233" s="57">
        <f t="shared" si="13"/>
        <v>0</v>
      </c>
      <c r="I233" s="166">
        <f t="shared" si="14"/>
        <v>52.58</v>
      </c>
      <c r="K233" s="175">
        <v>0.35499999999999998</v>
      </c>
      <c r="L233" s="176">
        <f t="shared" si="15"/>
        <v>0</v>
      </c>
      <c r="M233" s="7"/>
    </row>
    <row r="234" spans="2:13" x14ac:dyDescent="0.25">
      <c r="B234" s="9" t="s">
        <v>223</v>
      </c>
      <c r="C234" s="10" t="s">
        <v>314</v>
      </c>
      <c r="D234" s="11">
        <v>18.48</v>
      </c>
      <c r="E234" s="161">
        <v>0</v>
      </c>
      <c r="F234" s="11">
        <f>D234*(1-Cennik[[#This Row],[RABAT]])*(1-$C$324)</f>
        <v>18.48</v>
      </c>
      <c r="G234" s="85"/>
      <c r="H234" s="57">
        <f t="shared" si="13"/>
        <v>0</v>
      </c>
      <c r="I234" s="166">
        <f t="shared" si="14"/>
        <v>81.312000000000012</v>
      </c>
      <c r="K234" s="175"/>
      <c r="L234" s="176">
        <f t="shared" si="15"/>
        <v>0</v>
      </c>
      <c r="M234" s="7"/>
    </row>
    <row r="235" spans="2:13" x14ac:dyDescent="0.25">
      <c r="B235" s="9" t="s">
        <v>223</v>
      </c>
      <c r="C235" s="10" t="s">
        <v>125</v>
      </c>
      <c r="D235" s="11">
        <v>19.59</v>
      </c>
      <c r="E235" s="161">
        <v>0</v>
      </c>
      <c r="F235" s="11">
        <f>D235*(1-Cennik[[#This Row],[RABAT]])*(1-$C$324)</f>
        <v>19.59</v>
      </c>
      <c r="G235" s="85"/>
      <c r="H235" s="57">
        <f t="shared" si="13"/>
        <v>0</v>
      </c>
      <c r="I235" s="166">
        <f t="shared" si="14"/>
        <v>86.196000000000012</v>
      </c>
      <c r="K235" s="175"/>
      <c r="L235" s="176">
        <f t="shared" si="15"/>
        <v>0</v>
      </c>
      <c r="M235" s="7"/>
    </row>
    <row r="236" spans="2:13" x14ac:dyDescent="0.25">
      <c r="B236" s="9" t="s">
        <v>223</v>
      </c>
      <c r="C236" s="10" t="s">
        <v>126</v>
      </c>
      <c r="D236" s="11">
        <v>22.18</v>
      </c>
      <c r="E236" s="161">
        <v>0</v>
      </c>
      <c r="F236" s="11">
        <f>D236*(1-Cennik[[#This Row],[RABAT]])*(1-$C$324)</f>
        <v>22.18</v>
      </c>
      <c r="G236" s="85"/>
      <c r="H236" s="57">
        <f t="shared" si="13"/>
        <v>0</v>
      </c>
      <c r="I236" s="166">
        <f t="shared" si="14"/>
        <v>97.592000000000013</v>
      </c>
      <c r="K236" s="175"/>
      <c r="L236" s="176">
        <f t="shared" si="15"/>
        <v>0</v>
      </c>
      <c r="M236" s="7"/>
    </row>
    <row r="237" spans="2:13" x14ac:dyDescent="0.25">
      <c r="B237" s="9" t="s">
        <v>223</v>
      </c>
      <c r="C237" s="10" t="s">
        <v>127</v>
      </c>
      <c r="D237" s="11">
        <v>22.18</v>
      </c>
      <c r="E237" s="161">
        <v>0</v>
      </c>
      <c r="F237" s="11">
        <f>D237*(1-Cennik[[#This Row],[RABAT]])*(1-$C$324)</f>
        <v>22.18</v>
      </c>
      <c r="G237" s="85"/>
      <c r="H237" s="57">
        <f t="shared" si="13"/>
        <v>0</v>
      </c>
      <c r="I237" s="166">
        <f t="shared" si="14"/>
        <v>97.592000000000013</v>
      </c>
      <c r="K237" s="175"/>
      <c r="L237" s="176">
        <f t="shared" si="15"/>
        <v>0</v>
      </c>
      <c r="M237" s="7"/>
    </row>
    <row r="238" spans="2:13" x14ac:dyDescent="0.25">
      <c r="B238" s="9" t="s">
        <v>224</v>
      </c>
      <c r="C238" s="10" t="s">
        <v>345</v>
      </c>
      <c r="D238" s="11">
        <v>6.4</v>
      </c>
      <c r="E238" s="161">
        <v>0</v>
      </c>
      <c r="F238" s="11">
        <f>D238*(1-Cennik[[#This Row],[RABAT]])*(1-$C$324)</f>
        <v>6.4</v>
      </c>
      <c r="G238" s="85"/>
      <c r="H238" s="57">
        <f t="shared" si="13"/>
        <v>0</v>
      </c>
      <c r="I238" s="166">
        <f t="shared" si="14"/>
        <v>28.160000000000004</v>
      </c>
      <c r="K238" s="175">
        <v>0.04</v>
      </c>
      <c r="L238" s="176">
        <f t="shared" ref="L238:L269" si="16">G238*K238</f>
        <v>0</v>
      </c>
      <c r="M238" s="7"/>
    </row>
    <row r="239" spans="2:13" x14ac:dyDescent="0.25">
      <c r="B239" s="9" t="s">
        <v>224</v>
      </c>
      <c r="C239" s="10" t="s">
        <v>128</v>
      </c>
      <c r="D239" s="11">
        <v>6.4</v>
      </c>
      <c r="E239" s="161">
        <v>0</v>
      </c>
      <c r="F239" s="11">
        <f>D239*(1-Cennik[[#This Row],[RABAT]])*(1-$C$324)</f>
        <v>6.4</v>
      </c>
      <c r="G239" s="85"/>
      <c r="H239" s="57">
        <f t="shared" si="13"/>
        <v>0</v>
      </c>
      <c r="I239" s="166">
        <f t="shared" si="14"/>
        <v>28.160000000000004</v>
      </c>
      <c r="K239" s="175">
        <v>3.7999999999999999E-2</v>
      </c>
      <c r="L239" s="176">
        <f t="shared" si="16"/>
        <v>0</v>
      </c>
      <c r="M239" s="7"/>
    </row>
    <row r="240" spans="2:13" x14ac:dyDescent="0.25">
      <c r="B240" s="12" t="s">
        <v>225</v>
      </c>
      <c r="C240" s="13" t="s">
        <v>129</v>
      </c>
      <c r="D240" s="14">
        <v>7.0000000000000007E-2</v>
      </c>
      <c r="E240" s="161">
        <v>0</v>
      </c>
      <c r="F240" s="11">
        <f>D240*(1-Cennik[[#This Row],[RABAT]])*(1-$C$324)</f>
        <v>7.0000000000000007E-2</v>
      </c>
      <c r="G240" s="85"/>
      <c r="H240" s="57">
        <f t="shared" si="13"/>
        <v>0</v>
      </c>
      <c r="I240" s="166">
        <f t="shared" si="14"/>
        <v>0.30800000000000005</v>
      </c>
      <c r="K240" s="175">
        <v>5.0000000000000001E-3</v>
      </c>
      <c r="L240" s="176">
        <f t="shared" si="16"/>
        <v>0</v>
      </c>
      <c r="M240" s="7"/>
    </row>
    <row r="241" spans="2:13" x14ac:dyDescent="0.25">
      <c r="B241" s="12" t="s">
        <v>225</v>
      </c>
      <c r="C241" s="13" t="s">
        <v>130</v>
      </c>
      <c r="D241" s="14">
        <v>0.08</v>
      </c>
      <c r="E241" s="161">
        <v>0</v>
      </c>
      <c r="F241" s="11">
        <f>D241*(1-Cennik[[#This Row],[RABAT]])*(1-$C$324)</f>
        <v>0.08</v>
      </c>
      <c r="G241" s="85"/>
      <c r="H241" s="57">
        <f t="shared" si="13"/>
        <v>0</v>
      </c>
      <c r="I241" s="166">
        <f t="shared" si="14"/>
        <v>0.35200000000000004</v>
      </c>
      <c r="K241" s="175">
        <v>7.0000000000000001E-3</v>
      </c>
      <c r="L241" s="176">
        <f t="shared" si="16"/>
        <v>0</v>
      </c>
      <c r="M241" s="7"/>
    </row>
    <row r="242" spans="2:13" x14ac:dyDescent="0.25">
      <c r="B242" s="12" t="s">
        <v>226</v>
      </c>
      <c r="C242" s="13" t="s">
        <v>306</v>
      </c>
      <c r="D242" s="14">
        <v>7.0000000000000007E-2</v>
      </c>
      <c r="E242" s="161">
        <v>0</v>
      </c>
      <c r="F242" s="11">
        <f>D242*(1-Cennik[[#This Row],[RABAT]])*(1-$C$324)</f>
        <v>7.0000000000000007E-2</v>
      </c>
      <c r="G242" s="85"/>
      <c r="H242" s="57">
        <f t="shared" si="13"/>
        <v>0</v>
      </c>
      <c r="I242" s="166">
        <f t="shared" si="14"/>
        <v>0.30800000000000005</v>
      </c>
      <c r="K242" s="175">
        <v>2.3E-3</v>
      </c>
      <c r="L242" s="176">
        <f t="shared" si="16"/>
        <v>0</v>
      </c>
      <c r="M242" s="7"/>
    </row>
    <row r="243" spans="2:13" x14ac:dyDescent="0.25">
      <c r="B243" s="9" t="s">
        <v>227</v>
      </c>
      <c r="C243" s="10" t="s">
        <v>131</v>
      </c>
      <c r="D243" s="11">
        <v>0.68</v>
      </c>
      <c r="E243" s="161">
        <v>0</v>
      </c>
      <c r="F243" s="11">
        <f>D243*(1-Cennik[[#This Row],[RABAT]])*(1-$C$324)</f>
        <v>0.68</v>
      </c>
      <c r="G243" s="85"/>
      <c r="H243" s="57">
        <f t="shared" si="13"/>
        <v>0</v>
      </c>
      <c r="I243" s="166">
        <f t="shared" si="14"/>
        <v>2.9920000000000004</v>
      </c>
      <c r="K243" s="175">
        <v>1.2E-2</v>
      </c>
      <c r="L243" s="176">
        <f t="shared" si="16"/>
        <v>0</v>
      </c>
      <c r="M243" s="7"/>
    </row>
    <row r="244" spans="2:13" x14ac:dyDescent="0.25">
      <c r="B244" s="9" t="s">
        <v>227</v>
      </c>
      <c r="C244" s="10" t="s">
        <v>132</v>
      </c>
      <c r="D244" s="11">
        <v>1.2</v>
      </c>
      <c r="E244" s="161">
        <v>0</v>
      </c>
      <c r="F244" s="11">
        <f>D244*(1-Cennik[[#This Row],[RABAT]])*(1-$C$324)</f>
        <v>1.2</v>
      </c>
      <c r="G244" s="85"/>
      <c r="H244" s="57">
        <f t="shared" si="13"/>
        <v>0</v>
      </c>
      <c r="I244" s="166">
        <f t="shared" si="14"/>
        <v>5.28</v>
      </c>
      <c r="K244" s="175">
        <v>1.7999999999999999E-2</v>
      </c>
      <c r="L244" s="176">
        <f t="shared" si="16"/>
        <v>0</v>
      </c>
      <c r="M244" s="7"/>
    </row>
    <row r="245" spans="2:13" x14ac:dyDescent="0.25">
      <c r="B245" s="9" t="s">
        <v>227</v>
      </c>
      <c r="C245" s="10" t="s">
        <v>133</v>
      </c>
      <c r="D245" s="11">
        <v>1.58</v>
      </c>
      <c r="E245" s="161">
        <v>0</v>
      </c>
      <c r="F245" s="11">
        <f>D245*(1-Cennik[[#This Row],[RABAT]])*(1-$C$324)</f>
        <v>1.58</v>
      </c>
      <c r="G245" s="85"/>
      <c r="H245" s="57">
        <f t="shared" si="13"/>
        <v>0</v>
      </c>
      <c r="I245" s="166">
        <f t="shared" si="14"/>
        <v>6.9520000000000008</v>
      </c>
      <c r="K245" s="175">
        <v>2.4E-2</v>
      </c>
      <c r="L245" s="176">
        <f t="shared" si="16"/>
        <v>0</v>
      </c>
      <c r="M245" s="7"/>
    </row>
    <row r="246" spans="2:13" x14ac:dyDescent="0.25">
      <c r="B246" s="9" t="s">
        <v>227</v>
      </c>
      <c r="C246" s="10" t="s">
        <v>134</v>
      </c>
      <c r="D246" s="11">
        <v>2.39</v>
      </c>
      <c r="E246" s="161">
        <v>0</v>
      </c>
      <c r="F246" s="11">
        <f>D246*(1-Cennik[[#This Row],[RABAT]])*(1-$C$324)</f>
        <v>2.39</v>
      </c>
      <c r="G246" s="85"/>
      <c r="H246" s="57">
        <f t="shared" si="13"/>
        <v>0</v>
      </c>
      <c r="I246" s="166">
        <f t="shared" si="14"/>
        <v>10.516000000000002</v>
      </c>
      <c r="K246" s="175">
        <v>3.5999999999999997E-2</v>
      </c>
      <c r="L246" s="176">
        <f t="shared" si="16"/>
        <v>0</v>
      </c>
      <c r="M246" s="7"/>
    </row>
    <row r="247" spans="2:13" x14ac:dyDescent="0.25">
      <c r="B247" s="9" t="s">
        <v>227</v>
      </c>
      <c r="C247" s="10" t="s">
        <v>346</v>
      </c>
      <c r="D247" s="11">
        <v>9.56</v>
      </c>
      <c r="E247" s="161">
        <v>0</v>
      </c>
      <c r="F247" s="11">
        <f>D247*(1-Cennik[[#This Row],[RABAT]])*(1-$C$324)</f>
        <v>9.56</v>
      </c>
      <c r="G247" s="85"/>
      <c r="H247" s="57">
        <f t="shared" si="13"/>
        <v>0</v>
      </c>
      <c r="I247" s="166">
        <f t="shared" si="14"/>
        <v>42.064000000000007</v>
      </c>
      <c r="K247" s="175">
        <v>0.24</v>
      </c>
      <c r="L247" s="176">
        <f t="shared" si="16"/>
        <v>0</v>
      </c>
      <c r="M247" s="7"/>
    </row>
    <row r="248" spans="2:13" x14ac:dyDescent="0.25">
      <c r="B248" s="9" t="s">
        <v>227</v>
      </c>
      <c r="C248" s="10" t="s">
        <v>135</v>
      </c>
      <c r="D248" s="11">
        <v>0.9</v>
      </c>
      <c r="E248" s="161">
        <v>0</v>
      </c>
      <c r="F248" s="11">
        <f>D248*(1-Cennik[[#This Row],[RABAT]])*(1-$C$324)</f>
        <v>0.9</v>
      </c>
      <c r="G248" s="85"/>
      <c r="H248" s="57">
        <f t="shared" si="13"/>
        <v>0</v>
      </c>
      <c r="I248" s="166">
        <f t="shared" si="14"/>
        <v>3.9600000000000004</v>
      </c>
      <c r="K248" s="175">
        <v>2.1999999999999999E-2</v>
      </c>
      <c r="L248" s="176">
        <f t="shared" si="16"/>
        <v>0</v>
      </c>
      <c r="M248" s="7"/>
    </row>
    <row r="249" spans="2:13" x14ac:dyDescent="0.25">
      <c r="B249" s="9" t="s">
        <v>227</v>
      </c>
      <c r="C249" s="10" t="s">
        <v>136</v>
      </c>
      <c r="D249" s="11">
        <v>1.38</v>
      </c>
      <c r="E249" s="161">
        <v>0</v>
      </c>
      <c r="F249" s="11">
        <f>D249*(1-Cennik[[#This Row],[RABAT]])*(1-$C$324)</f>
        <v>1.38</v>
      </c>
      <c r="G249" s="85"/>
      <c r="H249" s="57">
        <f t="shared" si="13"/>
        <v>0</v>
      </c>
      <c r="I249" s="166">
        <f t="shared" si="14"/>
        <v>6.0720000000000001</v>
      </c>
      <c r="K249" s="175">
        <v>3.3000000000000002E-2</v>
      </c>
      <c r="L249" s="176">
        <f t="shared" si="16"/>
        <v>0</v>
      </c>
      <c r="M249" s="7"/>
    </row>
    <row r="250" spans="2:13" x14ac:dyDescent="0.25">
      <c r="B250" s="9" t="s">
        <v>227</v>
      </c>
      <c r="C250" s="10" t="s">
        <v>137</v>
      </c>
      <c r="D250" s="11">
        <v>1.85</v>
      </c>
      <c r="E250" s="161">
        <v>0</v>
      </c>
      <c r="F250" s="11">
        <f>D250*(1-Cennik[[#This Row],[RABAT]])*(1-$C$324)</f>
        <v>1.85</v>
      </c>
      <c r="G250" s="85"/>
      <c r="H250" s="57">
        <f t="shared" si="13"/>
        <v>0</v>
      </c>
      <c r="I250" s="166">
        <f t="shared" si="14"/>
        <v>8.14</v>
      </c>
      <c r="K250" s="175">
        <v>4.3999999999999997E-2</v>
      </c>
      <c r="L250" s="176">
        <f t="shared" si="16"/>
        <v>0</v>
      </c>
      <c r="M250" s="7"/>
    </row>
    <row r="251" spans="2:13" x14ac:dyDescent="0.25">
      <c r="B251" s="9" t="s">
        <v>227</v>
      </c>
      <c r="C251" s="10" t="s">
        <v>138</v>
      </c>
      <c r="D251" s="11">
        <v>2.69</v>
      </c>
      <c r="E251" s="161">
        <v>0</v>
      </c>
      <c r="F251" s="11">
        <f>D251*(1-Cennik[[#This Row],[RABAT]])*(1-$C$324)</f>
        <v>2.69</v>
      </c>
      <c r="G251" s="85"/>
      <c r="H251" s="57">
        <f t="shared" si="13"/>
        <v>0</v>
      </c>
      <c r="I251" s="166">
        <f t="shared" si="14"/>
        <v>11.836</v>
      </c>
      <c r="K251" s="175">
        <v>6.6000000000000003E-2</v>
      </c>
      <c r="L251" s="176">
        <f t="shared" si="16"/>
        <v>0</v>
      </c>
      <c r="M251" s="7"/>
    </row>
    <row r="252" spans="2:13" x14ac:dyDescent="0.25">
      <c r="B252" s="12" t="s">
        <v>228</v>
      </c>
      <c r="C252" s="13" t="s">
        <v>139</v>
      </c>
      <c r="D252" s="82">
        <v>0.78</v>
      </c>
      <c r="E252" s="161">
        <v>0</v>
      </c>
      <c r="F252" s="11">
        <f>D252*(1-Cennik[[#This Row],[RABAT]])*(1-$C$324)</f>
        <v>0.78</v>
      </c>
      <c r="G252" s="85"/>
      <c r="H252" s="57">
        <f t="shared" si="13"/>
        <v>0</v>
      </c>
      <c r="I252" s="166">
        <f t="shared" si="14"/>
        <v>3.4320000000000004</v>
      </c>
      <c r="K252" s="175">
        <v>6.0000000000000001E-3</v>
      </c>
      <c r="L252" s="176">
        <f t="shared" si="16"/>
        <v>0</v>
      </c>
      <c r="M252" s="7"/>
    </row>
    <row r="253" spans="2:13" x14ac:dyDescent="0.25">
      <c r="B253" s="12" t="s">
        <v>228</v>
      </c>
      <c r="C253" s="13" t="s">
        <v>140</v>
      </c>
      <c r="D253" s="82">
        <v>0.89</v>
      </c>
      <c r="E253" s="161">
        <v>0</v>
      </c>
      <c r="F253" s="11">
        <f>D253*(1-Cennik[[#This Row],[RABAT]])*(1-$C$324)</f>
        <v>0.89</v>
      </c>
      <c r="G253" s="85"/>
      <c r="H253" s="57">
        <f t="shared" si="13"/>
        <v>0</v>
      </c>
      <c r="I253" s="166">
        <f t="shared" si="14"/>
        <v>3.9160000000000004</v>
      </c>
      <c r="K253" s="175">
        <v>1.2E-2</v>
      </c>
      <c r="L253" s="176">
        <f t="shared" si="16"/>
        <v>0</v>
      </c>
      <c r="M253" s="7"/>
    </row>
    <row r="254" spans="2:13" x14ac:dyDescent="0.25">
      <c r="B254" s="12" t="s">
        <v>228</v>
      </c>
      <c r="C254" s="13" t="s">
        <v>141</v>
      </c>
      <c r="D254" s="82">
        <v>1.6</v>
      </c>
      <c r="E254" s="161">
        <v>0</v>
      </c>
      <c r="F254" s="11">
        <f>D254*(1-Cennik[[#This Row],[RABAT]])*(1-$C$324)</f>
        <v>1.6</v>
      </c>
      <c r="G254" s="85"/>
      <c r="H254" s="57">
        <f t="shared" si="13"/>
        <v>0</v>
      </c>
      <c r="I254" s="166">
        <f t="shared" si="14"/>
        <v>7.0400000000000009</v>
      </c>
      <c r="K254" s="175">
        <v>0.02</v>
      </c>
      <c r="L254" s="176">
        <f t="shared" si="16"/>
        <v>0</v>
      </c>
      <c r="M254" s="7"/>
    </row>
    <row r="255" spans="2:13" x14ac:dyDescent="0.25">
      <c r="B255" s="12" t="s">
        <v>228</v>
      </c>
      <c r="C255" s="13" t="s">
        <v>142</v>
      </c>
      <c r="D255" s="82">
        <v>1.08</v>
      </c>
      <c r="E255" s="161">
        <v>0</v>
      </c>
      <c r="F255" s="11">
        <f>D255*(1-Cennik[[#This Row],[RABAT]])*(1-$C$324)</f>
        <v>1.08</v>
      </c>
      <c r="G255" s="85"/>
      <c r="H255" s="57">
        <f t="shared" si="13"/>
        <v>0</v>
      </c>
      <c r="I255" s="166">
        <f t="shared" si="14"/>
        <v>4.7520000000000007</v>
      </c>
      <c r="K255" s="175">
        <v>0.03</v>
      </c>
      <c r="L255" s="176">
        <f t="shared" si="16"/>
        <v>0</v>
      </c>
      <c r="M255" s="7"/>
    </row>
    <row r="256" spans="2:13" x14ac:dyDescent="0.25">
      <c r="B256" s="12" t="s">
        <v>228</v>
      </c>
      <c r="C256" s="13" t="s">
        <v>143</v>
      </c>
      <c r="D256" s="82">
        <v>2.4500000000000002</v>
      </c>
      <c r="E256" s="161">
        <v>0</v>
      </c>
      <c r="F256" s="11">
        <f>D256*(1-Cennik[[#This Row],[RABAT]])*(1-$C$324)</f>
        <v>2.4500000000000002</v>
      </c>
      <c r="G256" s="85"/>
      <c r="H256" s="57">
        <f t="shared" si="13"/>
        <v>0</v>
      </c>
      <c r="I256" s="166">
        <f t="shared" si="14"/>
        <v>10.780000000000001</v>
      </c>
      <c r="K256" s="175">
        <v>4.8000000000000001E-2</v>
      </c>
      <c r="L256" s="176">
        <f t="shared" si="16"/>
        <v>0</v>
      </c>
      <c r="M256" s="7"/>
    </row>
    <row r="257" spans="2:13" x14ac:dyDescent="0.25">
      <c r="B257" s="12" t="s">
        <v>228</v>
      </c>
      <c r="C257" s="13" t="s">
        <v>144</v>
      </c>
      <c r="D257" s="82">
        <v>1.8</v>
      </c>
      <c r="E257" s="161">
        <v>0</v>
      </c>
      <c r="F257" s="11">
        <f>D257*(1-Cennik[[#This Row],[RABAT]])*(1-$C$324)</f>
        <v>1.8</v>
      </c>
      <c r="G257" s="85"/>
      <c r="H257" s="57">
        <f t="shared" si="13"/>
        <v>0</v>
      </c>
      <c r="I257" s="166">
        <f t="shared" si="14"/>
        <v>7.9200000000000008</v>
      </c>
      <c r="K257" s="175">
        <v>0.03</v>
      </c>
      <c r="L257" s="176">
        <f t="shared" si="16"/>
        <v>0</v>
      </c>
      <c r="M257" s="7"/>
    </row>
    <row r="258" spans="2:13" x14ac:dyDescent="0.25">
      <c r="B258" s="12" t="s">
        <v>228</v>
      </c>
      <c r="C258" s="13" t="s">
        <v>145</v>
      </c>
      <c r="D258" s="82">
        <v>2.95</v>
      </c>
      <c r="E258" s="161">
        <v>0</v>
      </c>
      <c r="F258" s="11">
        <f>D258*(1-Cennik[[#This Row],[RABAT]])*(1-$C$324)</f>
        <v>2.95</v>
      </c>
      <c r="G258" s="85"/>
      <c r="H258" s="57">
        <f t="shared" si="13"/>
        <v>0</v>
      </c>
      <c r="I258" s="166">
        <f t="shared" si="14"/>
        <v>12.980000000000002</v>
      </c>
      <c r="K258" s="175">
        <v>0.05</v>
      </c>
      <c r="L258" s="176">
        <f t="shared" si="16"/>
        <v>0</v>
      </c>
      <c r="M258" s="7"/>
    </row>
    <row r="259" spans="2:13" x14ac:dyDescent="0.25">
      <c r="B259" s="12" t="s">
        <v>228</v>
      </c>
      <c r="C259" s="13" t="s">
        <v>146</v>
      </c>
      <c r="D259" s="82">
        <v>4.75</v>
      </c>
      <c r="E259" s="161">
        <v>0</v>
      </c>
      <c r="F259" s="11">
        <f>D259*(1-Cennik[[#This Row],[RABAT]])*(1-$C$324)</f>
        <v>4.75</v>
      </c>
      <c r="G259" s="85"/>
      <c r="H259" s="57">
        <f t="shared" si="13"/>
        <v>0</v>
      </c>
      <c r="I259" s="166">
        <f t="shared" si="14"/>
        <v>20.900000000000002</v>
      </c>
      <c r="K259" s="175">
        <v>9.4E-2</v>
      </c>
      <c r="L259" s="176">
        <f t="shared" si="16"/>
        <v>0</v>
      </c>
      <c r="M259" s="7"/>
    </row>
    <row r="260" spans="2:13" x14ac:dyDescent="0.25">
      <c r="B260" s="12" t="s">
        <v>228</v>
      </c>
      <c r="C260" s="13" t="s">
        <v>147</v>
      </c>
      <c r="D260" s="82">
        <v>7.95</v>
      </c>
      <c r="E260" s="161">
        <v>0</v>
      </c>
      <c r="F260" s="11">
        <f>D260*(1-Cennik[[#This Row],[RABAT]])*(1-$C$324)</f>
        <v>7.95</v>
      </c>
      <c r="G260" s="85"/>
      <c r="H260" s="57">
        <f t="shared" si="13"/>
        <v>0</v>
      </c>
      <c r="I260" s="166">
        <f t="shared" si="14"/>
        <v>34.980000000000004</v>
      </c>
      <c r="K260" s="175">
        <v>0.17</v>
      </c>
      <c r="L260" s="176">
        <f t="shared" si="16"/>
        <v>0</v>
      </c>
      <c r="M260" s="7"/>
    </row>
    <row r="261" spans="2:13" x14ac:dyDescent="0.25">
      <c r="B261" s="9" t="s">
        <v>229</v>
      </c>
      <c r="C261" s="10" t="s">
        <v>148</v>
      </c>
      <c r="D261" s="11">
        <v>2.13</v>
      </c>
      <c r="E261" s="161">
        <v>0</v>
      </c>
      <c r="F261" s="11">
        <f>D261*(1-Cennik[[#This Row],[RABAT]])*(1-$C$324)</f>
        <v>2.13</v>
      </c>
      <c r="G261" s="85"/>
      <c r="H261" s="57">
        <f t="shared" si="13"/>
        <v>0</v>
      </c>
      <c r="I261" s="166">
        <f t="shared" si="14"/>
        <v>9.3719999999999999</v>
      </c>
      <c r="K261" s="175"/>
      <c r="L261" s="176">
        <f t="shared" si="16"/>
        <v>0</v>
      </c>
      <c r="M261" s="7"/>
    </row>
    <row r="262" spans="2:13" x14ac:dyDescent="0.25">
      <c r="B262" s="9" t="s">
        <v>229</v>
      </c>
      <c r="C262" s="10" t="s">
        <v>149</v>
      </c>
      <c r="D262" s="11">
        <v>2.13</v>
      </c>
      <c r="E262" s="161">
        <v>0</v>
      </c>
      <c r="F262" s="11">
        <f>D262*(1-Cennik[[#This Row],[RABAT]])*(1-$C$324)</f>
        <v>2.13</v>
      </c>
      <c r="G262" s="85"/>
      <c r="H262" s="57">
        <f t="shared" si="13"/>
        <v>0</v>
      </c>
      <c r="I262" s="166">
        <f t="shared" si="14"/>
        <v>9.3719999999999999</v>
      </c>
      <c r="K262" s="175"/>
      <c r="L262" s="176">
        <f t="shared" si="16"/>
        <v>0</v>
      </c>
      <c r="M262" s="7"/>
    </row>
    <row r="263" spans="2:13" x14ac:dyDescent="0.25">
      <c r="B263" s="9" t="s">
        <v>230</v>
      </c>
      <c r="C263" s="10" t="s">
        <v>150</v>
      </c>
      <c r="D263" s="11">
        <v>1.73</v>
      </c>
      <c r="E263" s="161">
        <v>0</v>
      </c>
      <c r="F263" s="11">
        <f>D263*(1-Cennik[[#This Row],[RABAT]])*(1-$C$324)</f>
        <v>1.73</v>
      </c>
      <c r="G263" s="85"/>
      <c r="H263" s="57">
        <f t="shared" si="13"/>
        <v>0</v>
      </c>
      <c r="I263" s="166">
        <f t="shared" si="14"/>
        <v>7.6120000000000001</v>
      </c>
      <c r="K263" s="175"/>
      <c r="L263" s="176">
        <f t="shared" si="16"/>
        <v>0</v>
      </c>
      <c r="M263" s="7"/>
    </row>
    <row r="264" spans="2:13" x14ac:dyDescent="0.25">
      <c r="B264" s="9" t="s">
        <v>230</v>
      </c>
      <c r="C264" s="10" t="s">
        <v>151</v>
      </c>
      <c r="D264" s="11">
        <v>2.67</v>
      </c>
      <c r="E264" s="161">
        <v>0</v>
      </c>
      <c r="F264" s="11">
        <f>D264*(1-Cennik[[#This Row],[RABAT]])*(1-$C$324)</f>
        <v>2.67</v>
      </c>
      <c r="G264" s="85"/>
      <c r="H264" s="57">
        <f t="shared" si="13"/>
        <v>0</v>
      </c>
      <c r="I264" s="166">
        <f t="shared" si="14"/>
        <v>11.748000000000001</v>
      </c>
      <c r="K264" s="175"/>
      <c r="L264" s="176">
        <f t="shared" si="16"/>
        <v>0</v>
      </c>
      <c r="M264" s="7"/>
    </row>
    <row r="265" spans="2:13" x14ac:dyDescent="0.25">
      <c r="B265" s="9" t="s">
        <v>231</v>
      </c>
      <c r="C265" s="10" t="s">
        <v>152</v>
      </c>
      <c r="D265" s="11">
        <v>12.03</v>
      </c>
      <c r="E265" s="161">
        <v>0</v>
      </c>
      <c r="F265" s="11">
        <f>D265*(1-Cennik[[#This Row],[RABAT]])*(1-$C$324)</f>
        <v>12.03</v>
      </c>
      <c r="G265" s="85"/>
      <c r="H265" s="57">
        <f t="shared" ref="H265:H316" si="17">G265*F265</f>
        <v>0</v>
      </c>
      <c r="I265" s="166">
        <f t="shared" ref="I265:I316" si="18">$C$323*F265</f>
        <v>52.932000000000002</v>
      </c>
      <c r="K265" s="175">
        <v>1.65</v>
      </c>
      <c r="L265" s="176">
        <f t="shared" si="16"/>
        <v>0</v>
      </c>
      <c r="M265" s="7"/>
    </row>
    <row r="266" spans="2:13" x14ac:dyDescent="0.25">
      <c r="B266" s="9" t="s">
        <v>231</v>
      </c>
      <c r="C266" s="10" t="s">
        <v>153</v>
      </c>
      <c r="D266" s="11">
        <v>15.19</v>
      </c>
      <c r="E266" s="161">
        <v>0</v>
      </c>
      <c r="F266" s="11">
        <f>D266*(1-Cennik[[#This Row],[RABAT]])*(1-$C$324)</f>
        <v>15.19</v>
      </c>
      <c r="G266" s="85"/>
      <c r="H266" s="57">
        <f t="shared" si="17"/>
        <v>0</v>
      </c>
      <c r="I266" s="166">
        <f t="shared" si="18"/>
        <v>66.835999999999999</v>
      </c>
      <c r="K266" s="175">
        <v>2.5499999999999998</v>
      </c>
      <c r="L266" s="176">
        <f t="shared" si="16"/>
        <v>0</v>
      </c>
      <c r="M266" s="7"/>
    </row>
    <row r="267" spans="2:13" x14ac:dyDescent="0.25">
      <c r="B267" s="9" t="s">
        <v>231</v>
      </c>
      <c r="C267" s="10" t="s">
        <v>154</v>
      </c>
      <c r="D267" s="11">
        <v>16.010000000000002</v>
      </c>
      <c r="E267" s="161">
        <v>0</v>
      </c>
      <c r="F267" s="11">
        <f>D267*(1-Cennik[[#This Row],[RABAT]])*(1-$C$324)</f>
        <v>16.010000000000002</v>
      </c>
      <c r="G267" s="85"/>
      <c r="H267" s="57">
        <f t="shared" si="17"/>
        <v>0</v>
      </c>
      <c r="I267" s="166">
        <f t="shared" si="18"/>
        <v>70.444000000000017</v>
      </c>
      <c r="K267" s="175">
        <v>2.25</v>
      </c>
      <c r="L267" s="176">
        <f t="shared" si="16"/>
        <v>0</v>
      </c>
      <c r="M267" s="7"/>
    </row>
    <row r="268" spans="2:13" x14ac:dyDescent="0.25">
      <c r="B268" s="9" t="s">
        <v>231</v>
      </c>
      <c r="C268" s="10" t="s">
        <v>155</v>
      </c>
      <c r="D268" s="11">
        <v>16.809999999999999</v>
      </c>
      <c r="E268" s="161">
        <v>0</v>
      </c>
      <c r="F268" s="11">
        <f>D268*(1-Cennik[[#This Row],[RABAT]])*(1-$C$324)</f>
        <v>16.809999999999999</v>
      </c>
      <c r="G268" s="85"/>
      <c r="H268" s="57">
        <f t="shared" si="17"/>
        <v>0</v>
      </c>
      <c r="I268" s="166">
        <f t="shared" si="18"/>
        <v>73.963999999999999</v>
      </c>
      <c r="K268" s="175">
        <v>2.7</v>
      </c>
      <c r="L268" s="176">
        <f t="shared" si="16"/>
        <v>0</v>
      </c>
      <c r="M268" s="7"/>
    </row>
    <row r="269" spans="2:13" x14ac:dyDescent="0.25">
      <c r="B269" s="9" t="s">
        <v>231</v>
      </c>
      <c r="C269" s="10" t="s">
        <v>156</v>
      </c>
      <c r="D269" s="11">
        <v>16.809999999999999</v>
      </c>
      <c r="E269" s="161">
        <v>0</v>
      </c>
      <c r="F269" s="11">
        <f>D269*(1-Cennik[[#This Row],[RABAT]])*(1-$C$324)</f>
        <v>16.809999999999999</v>
      </c>
      <c r="G269" s="85"/>
      <c r="H269" s="57">
        <f t="shared" si="17"/>
        <v>0</v>
      </c>
      <c r="I269" s="166">
        <f t="shared" si="18"/>
        <v>73.963999999999999</v>
      </c>
      <c r="K269" s="175">
        <v>5.0599999999999996</v>
      </c>
      <c r="L269" s="176">
        <f t="shared" si="16"/>
        <v>0</v>
      </c>
      <c r="M269" s="7"/>
    </row>
    <row r="270" spans="2:13" x14ac:dyDescent="0.25">
      <c r="B270" s="9" t="s">
        <v>232</v>
      </c>
      <c r="C270" s="10" t="s">
        <v>157</v>
      </c>
      <c r="D270" s="11">
        <v>16.809999999999999</v>
      </c>
      <c r="E270" s="161">
        <v>0</v>
      </c>
      <c r="F270" s="11">
        <f>D270*(1-Cennik[[#This Row],[RABAT]])*(1-$C$324)</f>
        <v>16.809999999999999</v>
      </c>
      <c r="G270" s="85"/>
      <c r="H270" s="57">
        <f t="shared" si="17"/>
        <v>0</v>
      </c>
      <c r="I270" s="166">
        <f t="shared" si="18"/>
        <v>73.963999999999999</v>
      </c>
      <c r="K270" s="175"/>
      <c r="L270" s="176">
        <f t="shared" ref="L270:L301" si="19">G270*K270</f>
        <v>0</v>
      </c>
      <c r="M270" s="7"/>
    </row>
    <row r="271" spans="2:13" x14ac:dyDescent="0.25">
      <c r="B271" s="9" t="s">
        <v>232</v>
      </c>
      <c r="C271" s="10" t="s">
        <v>158</v>
      </c>
      <c r="D271" s="11">
        <v>20.28</v>
      </c>
      <c r="E271" s="161">
        <v>0</v>
      </c>
      <c r="F271" s="11">
        <f>D271*(1-Cennik[[#This Row],[RABAT]])*(1-$C$324)</f>
        <v>20.28</v>
      </c>
      <c r="G271" s="85"/>
      <c r="H271" s="57">
        <f t="shared" si="17"/>
        <v>0</v>
      </c>
      <c r="I271" s="166">
        <f t="shared" si="18"/>
        <v>89.232000000000014</v>
      </c>
      <c r="K271" s="175"/>
      <c r="L271" s="176">
        <f t="shared" si="19"/>
        <v>0</v>
      </c>
      <c r="M271" s="7"/>
    </row>
    <row r="272" spans="2:13" x14ac:dyDescent="0.25">
      <c r="B272" s="9" t="s">
        <v>232</v>
      </c>
      <c r="C272" s="10" t="s">
        <v>159</v>
      </c>
      <c r="D272" s="11">
        <v>24.28</v>
      </c>
      <c r="E272" s="161">
        <v>0</v>
      </c>
      <c r="F272" s="11">
        <f>D272*(1-Cennik[[#This Row],[RABAT]])*(1-$C$324)</f>
        <v>24.28</v>
      </c>
      <c r="G272" s="85"/>
      <c r="H272" s="57">
        <f t="shared" si="17"/>
        <v>0</v>
      </c>
      <c r="I272" s="166">
        <f t="shared" si="18"/>
        <v>106.83200000000001</v>
      </c>
      <c r="K272" s="175"/>
      <c r="L272" s="176">
        <f t="shared" si="19"/>
        <v>0</v>
      </c>
      <c r="M272" s="7"/>
    </row>
    <row r="273" spans="2:13" x14ac:dyDescent="0.25">
      <c r="B273" s="9" t="s">
        <v>232</v>
      </c>
      <c r="C273" s="10" t="s">
        <v>160</v>
      </c>
      <c r="D273" s="11">
        <v>88.04</v>
      </c>
      <c r="E273" s="161">
        <v>0</v>
      </c>
      <c r="F273" s="11">
        <f>D273*(1-Cennik[[#This Row],[RABAT]])*(1-$C$324)</f>
        <v>88.04</v>
      </c>
      <c r="G273" s="85"/>
      <c r="H273" s="57">
        <f t="shared" si="17"/>
        <v>0</v>
      </c>
      <c r="I273" s="166">
        <f t="shared" si="18"/>
        <v>387.37600000000003</v>
      </c>
      <c r="K273" s="175"/>
      <c r="L273" s="176">
        <f t="shared" si="19"/>
        <v>0</v>
      </c>
      <c r="M273" s="7"/>
    </row>
    <row r="274" spans="2:13" x14ac:dyDescent="0.25">
      <c r="B274" s="9" t="s">
        <v>232</v>
      </c>
      <c r="C274" s="10" t="s">
        <v>161</v>
      </c>
      <c r="D274" s="11">
        <v>66.7</v>
      </c>
      <c r="E274" s="161">
        <v>0</v>
      </c>
      <c r="F274" s="11">
        <f>D274*(1-Cennik[[#This Row],[RABAT]])*(1-$C$324)</f>
        <v>66.7</v>
      </c>
      <c r="G274" s="85"/>
      <c r="H274" s="57">
        <f t="shared" si="17"/>
        <v>0</v>
      </c>
      <c r="I274" s="166">
        <f t="shared" si="18"/>
        <v>293.48</v>
      </c>
      <c r="K274" s="175"/>
      <c r="L274" s="176">
        <f t="shared" si="19"/>
        <v>0</v>
      </c>
      <c r="M274" s="7"/>
    </row>
    <row r="275" spans="2:13" x14ac:dyDescent="0.25">
      <c r="B275" s="9" t="s">
        <v>233</v>
      </c>
      <c r="C275" s="10" t="s">
        <v>162</v>
      </c>
      <c r="D275" s="11">
        <v>32.020000000000003</v>
      </c>
      <c r="E275" s="161">
        <v>0</v>
      </c>
      <c r="F275" s="11">
        <f>D275*(1-Cennik[[#This Row],[RABAT]])*(1-$C$324)</f>
        <v>32.020000000000003</v>
      </c>
      <c r="G275" s="85"/>
      <c r="H275" s="57">
        <f t="shared" si="17"/>
        <v>0</v>
      </c>
      <c r="I275" s="166">
        <f t="shared" si="18"/>
        <v>140.88800000000003</v>
      </c>
      <c r="K275" s="175"/>
      <c r="L275" s="176">
        <f t="shared" si="19"/>
        <v>0</v>
      </c>
      <c r="M275" s="7"/>
    </row>
    <row r="276" spans="2:13" x14ac:dyDescent="0.25">
      <c r="B276" s="9" t="s">
        <v>234</v>
      </c>
      <c r="C276" s="10" t="s">
        <v>163</v>
      </c>
      <c r="D276" s="11">
        <v>181.42</v>
      </c>
      <c r="E276" s="161">
        <v>0</v>
      </c>
      <c r="F276" s="11">
        <f>D276*(1-Cennik[[#This Row],[RABAT]])*(1-$C$324)</f>
        <v>181.42</v>
      </c>
      <c r="G276" s="85"/>
      <c r="H276" s="57">
        <f t="shared" si="17"/>
        <v>0</v>
      </c>
      <c r="I276" s="166">
        <f t="shared" si="18"/>
        <v>798.24800000000005</v>
      </c>
      <c r="K276" s="175"/>
      <c r="L276" s="176">
        <f t="shared" si="19"/>
        <v>0</v>
      </c>
      <c r="M276" s="7"/>
    </row>
    <row r="277" spans="2:13" x14ac:dyDescent="0.25">
      <c r="B277" s="9" t="s">
        <v>234</v>
      </c>
      <c r="C277" s="10" t="s">
        <v>164</v>
      </c>
      <c r="D277" s="11">
        <v>232.12</v>
      </c>
      <c r="E277" s="161">
        <v>0</v>
      </c>
      <c r="F277" s="11">
        <f>D277*(1-Cennik[[#This Row],[RABAT]])*(1-$C$324)</f>
        <v>232.12</v>
      </c>
      <c r="G277" s="85"/>
      <c r="H277" s="57">
        <f t="shared" si="17"/>
        <v>0</v>
      </c>
      <c r="I277" s="166">
        <f t="shared" si="18"/>
        <v>1021.3280000000001</v>
      </c>
      <c r="K277" s="175"/>
      <c r="L277" s="176">
        <f t="shared" si="19"/>
        <v>0</v>
      </c>
      <c r="M277" s="7"/>
    </row>
    <row r="278" spans="2:13" x14ac:dyDescent="0.25">
      <c r="B278" s="9" t="s">
        <v>234</v>
      </c>
      <c r="C278" s="10" t="s">
        <v>165</v>
      </c>
      <c r="D278" s="11">
        <v>256.13</v>
      </c>
      <c r="E278" s="161">
        <v>0</v>
      </c>
      <c r="F278" s="11">
        <f>D278*(1-Cennik[[#This Row],[RABAT]])*(1-$C$324)</f>
        <v>256.13</v>
      </c>
      <c r="G278" s="85"/>
      <c r="H278" s="57">
        <f t="shared" si="17"/>
        <v>0</v>
      </c>
      <c r="I278" s="166">
        <f t="shared" si="18"/>
        <v>1126.972</v>
      </c>
      <c r="K278" s="175"/>
      <c r="L278" s="176">
        <f t="shared" si="19"/>
        <v>0</v>
      </c>
      <c r="M278" s="7"/>
    </row>
    <row r="279" spans="2:13" x14ac:dyDescent="0.25">
      <c r="B279" s="9" t="s">
        <v>234</v>
      </c>
      <c r="C279" s="10" t="s">
        <v>166</v>
      </c>
      <c r="D279" s="11">
        <v>290.81</v>
      </c>
      <c r="E279" s="161">
        <v>0</v>
      </c>
      <c r="F279" s="11">
        <f>D279*(1-Cennik[[#This Row],[RABAT]])*(1-$C$324)</f>
        <v>290.81</v>
      </c>
      <c r="G279" s="85"/>
      <c r="H279" s="57">
        <f t="shared" si="17"/>
        <v>0</v>
      </c>
      <c r="I279" s="166">
        <f t="shared" si="18"/>
        <v>1279.5640000000001</v>
      </c>
      <c r="K279" s="175"/>
      <c r="L279" s="176">
        <f t="shared" si="19"/>
        <v>0</v>
      </c>
      <c r="M279" s="7"/>
    </row>
    <row r="280" spans="2:13" x14ac:dyDescent="0.25">
      <c r="B280" s="9" t="s">
        <v>234</v>
      </c>
      <c r="C280" s="10" t="s">
        <v>167</v>
      </c>
      <c r="D280" s="11">
        <v>322.83</v>
      </c>
      <c r="E280" s="161">
        <v>0</v>
      </c>
      <c r="F280" s="11">
        <f>D280*(1-Cennik[[#This Row],[RABAT]])*(1-$C$324)</f>
        <v>322.83</v>
      </c>
      <c r="G280" s="85"/>
      <c r="H280" s="57">
        <f t="shared" si="17"/>
        <v>0</v>
      </c>
      <c r="I280" s="166">
        <f t="shared" si="18"/>
        <v>1420.452</v>
      </c>
      <c r="K280" s="175"/>
      <c r="L280" s="176">
        <f t="shared" si="19"/>
        <v>0</v>
      </c>
      <c r="M280" s="7"/>
    </row>
    <row r="281" spans="2:13" x14ac:dyDescent="0.25">
      <c r="B281" s="9" t="s">
        <v>235</v>
      </c>
      <c r="C281" s="10" t="s">
        <v>168</v>
      </c>
      <c r="D281" s="11">
        <v>445.56</v>
      </c>
      <c r="E281" s="161">
        <v>0</v>
      </c>
      <c r="F281" s="11">
        <f>D281*(1-Cennik[[#This Row],[RABAT]])*(1-$C$324)</f>
        <v>445.56</v>
      </c>
      <c r="G281" s="85"/>
      <c r="H281" s="57">
        <f t="shared" si="17"/>
        <v>0</v>
      </c>
      <c r="I281" s="166">
        <f t="shared" si="18"/>
        <v>1960.4640000000002</v>
      </c>
      <c r="K281" s="175"/>
      <c r="L281" s="176">
        <f t="shared" si="19"/>
        <v>0</v>
      </c>
      <c r="M281" s="7"/>
    </row>
    <row r="282" spans="2:13" x14ac:dyDescent="0.25">
      <c r="B282" s="9" t="s">
        <v>236</v>
      </c>
      <c r="C282" s="10" t="s">
        <v>169</v>
      </c>
      <c r="D282" s="11">
        <v>864.43</v>
      </c>
      <c r="E282" s="161">
        <v>0</v>
      </c>
      <c r="F282" s="11">
        <f>D282*(1-Cennik[[#This Row],[RABAT]])*(1-$C$324)</f>
        <v>864.43</v>
      </c>
      <c r="G282" s="85"/>
      <c r="H282" s="57">
        <f t="shared" si="17"/>
        <v>0</v>
      </c>
      <c r="I282" s="166">
        <f t="shared" si="18"/>
        <v>3803.4920000000002</v>
      </c>
      <c r="K282" s="175"/>
      <c r="L282" s="176">
        <f t="shared" si="19"/>
        <v>0</v>
      </c>
      <c r="M282" s="7"/>
    </row>
    <row r="283" spans="2:13" x14ac:dyDescent="0.25">
      <c r="B283" s="9" t="s">
        <v>237</v>
      </c>
      <c r="C283" s="10" t="s">
        <v>170</v>
      </c>
      <c r="D283" s="11">
        <v>173.42</v>
      </c>
      <c r="E283" s="161">
        <v>0</v>
      </c>
      <c r="F283" s="11">
        <f>D283*(1-Cennik[[#This Row],[RABAT]])*(1-$C$324)</f>
        <v>173.42</v>
      </c>
      <c r="G283" s="85"/>
      <c r="H283" s="57">
        <f t="shared" si="17"/>
        <v>0</v>
      </c>
      <c r="I283" s="166">
        <f t="shared" si="18"/>
        <v>763.048</v>
      </c>
      <c r="K283" s="175"/>
      <c r="L283" s="176">
        <f t="shared" si="19"/>
        <v>0</v>
      </c>
      <c r="M283" s="7"/>
    </row>
    <row r="284" spans="2:13" x14ac:dyDescent="0.25">
      <c r="B284" s="9" t="s">
        <v>238</v>
      </c>
      <c r="C284" s="10" t="s">
        <v>171</v>
      </c>
      <c r="D284" s="11">
        <v>90.71</v>
      </c>
      <c r="E284" s="161">
        <v>0</v>
      </c>
      <c r="F284" s="11">
        <f>D284*(1-Cennik[[#This Row],[RABAT]])*(1-$C$324)</f>
        <v>90.71</v>
      </c>
      <c r="G284" s="85"/>
      <c r="H284" s="57">
        <f t="shared" si="17"/>
        <v>0</v>
      </c>
      <c r="I284" s="166">
        <f t="shared" si="18"/>
        <v>399.12400000000002</v>
      </c>
      <c r="K284" s="175"/>
      <c r="L284" s="176">
        <f t="shared" si="19"/>
        <v>0</v>
      </c>
      <c r="M284" s="7"/>
    </row>
    <row r="285" spans="2:13" x14ac:dyDescent="0.25">
      <c r="B285" s="9" t="s">
        <v>239</v>
      </c>
      <c r="C285" s="10" t="s">
        <v>172</v>
      </c>
      <c r="D285" s="11">
        <v>4.2699999999999996</v>
      </c>
      <c r="E285" s="161">
        <v>0</v>
      </c>
      <c r="F285" s="11">
        <f>D285*(1-Cennik[[#This Row],[RABAT]])*(1-$C$324)</f>
        <v>4.2699999999999996</v>
      </c>
      <c r="G285" s="85"/>
      <c r="H285" s="57">
        <f t="shared" si="17"/>
        <v>0</v>
      </c>
      <c r="I285" s="166">
        <f t="shared" si="18"/>
        <v>18.788</v>
      </c>
      <c r="K285" s="175"/>
      <c r="L285" s="176">
        <f t="shared" si="19"/>
        <v>0</v>
      </c>
      <c r="M285" s="7"/>
    </row>
    <row r="286" spans="2:13" x14ac:dyDescent="0.25">
      <c r="B286" s="9" t="s">
        <v>240</v>
      </c>
      <c r="C286" s="10" t="s">
        <v>173</v>
      </c>
      <c r="D286" s="11">
        <v>3.87</v>
      </c>
      <c r="E286" s="161">
        <v>0</v>
      </c>
      <c r="F286" s="11">
        <f>D286*(1-Cennik[[#This Row],[RABAT]])*(1-$C$324)</f>
        <v>3.87</v>
      </c>
      <c r="G286" s="85"/>
      <c r="H286" s="57">
        <f t="shared" si="17"/>
        <v>0</v>
      </c>
      <c r="I286" s="166">
        <f t="shared" si="18"/>
        <v>17.028000000000002</v>
      </c>
      <c r="K286" s="175"/>
      <c r="L286" s="176">
        <f t="shared" si="19"/>
        <v>0</v>
      </c>
      <c r="M286" s="7"/>
    </row>
    <row r="287" spans="2:13" x14ac:dyDescent="0.25">
      <c r="B287" s="9" t="s">
        <v>240</v>
      </c>
      <c r="C287" s="10" t="s">
        <v>174</v>
      </c>
      <c r="D287" s="11">
        <v>12.81</v>
      </c>
      <c r="E287" s="161">
        <v>0</v>
      </c>
      <c r="F287" s="11">
        <f>D287*(1-Cennik[[#This Row],[RABAT]])*(1-$C$324)</f>
        <v>12.81</v>
      </c>
      <c r="G287" s="85"/>
      <c r="H287" s="57">
        <f t="shared" si="17"/>
        <v>0</v>
      </c>
      <c r="I287" s="166">
        <f t="shared" si="18"/>
        <v>56.364000000000004</v>
      </c>
      <c r="K287" s="175"/>
      <c r="L287" s="176">
        <f t="shared" si="19"/>
        <v>0</v>
      </c>
      <c r="M287" s="7"/>
    </row>
    <row r="288" spans="2:13" x14ac:dyDescent="0.25">
      <c r="B288" s="9" t="s">
        <v>241</v>
      </c>
      <c r="C288" s="10" t="s">
        <v>175</v>
      </c>
      <c r="D288" s="11">
        <v>3.7</v>
      </c>
      <c r="E288" s="161">
        <v>0</v>
      </c>
      <c r="F288" s="11">
        <f>D288*(1-Cennik[[#This Row],[RABAT]])*(1-$C$324)</f>
        <v>3.7</v>
      </c>
      <c r="G288" s="85"/>
      <c r="H288" s="57">
        <f t="shared" si="17"/>
        <v>0</v>
      </c>
      <c r="I288" s="166">
        <f t="shared" si="18"/>
        <v>16.28</v>
      </c>
      <c r="K288" s="175"/>
      <c r="L288" s="176">
        <f t="shared" si="19"/>
        <v>0</v>
      </c>
      <c r="M288" s="7"/>
    </row>
    <row r="289" spans="2:17" s="26" customFormat="1" x14ac:dyDescent="0.25">
      <c r="B289" s="22" t="s">
        <v>307</v>
      </c>
      <c r="C289" s="23" t="s">
        <v>305</v>
      </c>
      <c r="D289" s="24">
        <v>4.9000000000000004</v>
      </c>
      <c r="E289" s="161">
        <v>0</v>
      </c>
      <c r="F289" s="11">
        <f>D289*(1-Cennik[[#This Row],[RABAT]])*(1-$C$324)</f>
        <v>4.9000000000000004</v>
      </c>
      <c r="G289" s="85"/>
      <c r="H289" s="57">
        <f t="shared" si="17"/>
        <v>0</v>
      </c>
      <c r="I289" s="166">
        <f t="shared" si="18"/>
        <v>21.560000000000002</v>
      </c>
      <c r="J289" s="25"/>
      <c r="K289" s="177">
        <v>0.3</v>
      </c>
      <c r="L289" s="176">
        <f t="shared" si="19"/>
        <v>0</v>
      </c>
      <c r="M289" s="25"/>
    </row>
    <row r="290" spans="2:17" s="26" customFormat="1" x14ac:dyDescent="0.25">
      <c r="B290" s="22" t="s">
        <v>307</v>
      </c>
      <c r="C290" s="23" t="s">
        <v>304</v>
      </c>
      <c r="D290" s="24">
        <v>5.9</v>
      </c>
      <c r="E290" s="161">
        <v>0</v>
      </c>
      <c r="F290" s="11">
        <f>D290*(1-Cennik[[#This Row],[RABAT]])*(1-$C$324)</f>
        <v>5.9</v>
      </c>
      <c r="G290" s="85"/>
      <c r="H290" s="57">
        <f t="shared" si="17"/>
        <v>0</v>
      </c>
      <c r="I290" s="166">
        <f t="shared" si="18"/>
        <v>25.960000000000004</v>
      </c>
      <c r="J290" s="25"/>
      <c r="K290" s="177">
        <v>0.32</v>
      </c>
      <c r="L290" s="176">
        <f t="shared" si="19"/>
        <v>0</v>
      </c>
      <c r="M290" s="25"/>
    </row>
    <row r="291" spans="2:17" s="26" customFormat="1" x14ac:dyDescent="0.25">
      <c r="B291" s="27" t="s">
        <v>308</v>
      </c>
      <c r="C291" s="23" t="s">
        <v>303</v>
      </c>
      <c r="D291" s="28">
        <v>6.58</v>
      </c>
      <c r="E291" s="161">
        <v>0</v>
      </c>
      <c r="F291" s="11">
        <f>D291*(1-Cennik[[#This Row],[RABAT]])*(1-$C$324)</f>
        <v>6.58</v>
      </c>
      <c r="G291" s="85"/>
      <c r="H291" s="57">
        <f t="shared" si="17"/>
        <v>0</v>
      </c>
      <c r="I291" s="166">
        <f t="shared" si="18"/>
        <v>28.952000000000002</v>
      </c>
      <c r="J291" s="25"/>
      <c r="K291" s="177">
        <v>0.3</v>
      </c>
      <c r="L291" s="176">
        <f t="shared" si="19"/>
        <v>0</v>
      </c>
      <c r="M291" s="25"/>
    </row>
    <row r="292" spans="2:17" s="26" customFormat="1" x14ac:dyDescent="0.25">
      <c r="B292" s="27" t="s">
        <v>308</v>
      </c>
      <c r="C292" s="23" t="s">
        <v>302</v>
      </c>
      <c r="D292" s="28">
        <v>7.91</v>
      </c>
      <c r="E292" s="161">
        <v>0</v>
      </c>
      <c r="F292" s="11">
        <f>D292*(1-Cennik[[#This Row],[RABAT]])*(1-$C$324)</f>
        <v>7.91</v>
      </c>
      <c r="G292" s="85"/>
      <c r="H292" s="57">
        <f t="shared" si="17"/>
        <v>0</v>
      </c>
      <c r="I292" s="166">
        <f t="shared" si="18"/>
        <v>34.804000000000002</v>
      </c>
      <c r="J292" s="25"/>
      <c r="K292" s="177">
        <v>0.35</v>
      </c>
      <c r="L292" s="176">
        <f t="shared" si="19"/>
        <v>0</v>
      </c>
      <c r="M292" s="25"/>
    </row>
    <row r="293" spans="2:17" s="26" customFormat="1" x14ac:dyDescent="0.25">
      <c r="B293" s="70" t="s">
        <v>308</v>
      </c>
      <c r="C293" s="71" t="s">
        <v>428</v>
      </c>
      <c r="D293" s="28">
        <v>9.6014999999999997</v>
      </c>
      <c r="E293" s="161">
        <v>0</v>
      </c>
      <c r="F293" s="11">
        <f>D293*(1-Cennik[[#This Row],[RABAT]])*(1-$C$324)</f>
        <v>9.6014999999999997</v>
      </c>
      <c r="G293" s="85"/>
      <c r="H293" s="57">
        <f t="shared" si="17"/>
        <v>0</v>
      </c>
      <c r="I293" s="166">
        <f t="shared" si="18"/>
        <v>42.246600000000001</v>
      </c>
      <c r="J293" s="25"/>
      <c r="K293" s="177">
        <v>0.34</v>
      </c>
      <c r="L293" s="176">
        <f t="shared" si="19"/>
        <v>0</v>
      </c>
      <c r="M293" s="25"/>
    </row>
    <row r="294" spans="2:17" s="26" customFormat="1" x14ac:dyDescent="0.25">
      <c r="B294" s="65" t="s">
        <v>308</v>
      </c>
      <c r="C294" s="66" t="s">
        <v>429</v>
      </c>
      <c r="D294" s="28">
        <v>12.495000000000001</v>
      </c>
      <c r="E294" s="161">
        <v>0</v>
      </c>
      <c r="F294" s="11">
        <f>D294*(1-Cennik[[#This Row],[RABAT]])*(1-$C$324)</f>
        <v>12.495000000000001</v>
      </c>
      <c r="G294" s="85"/>
      <c r="H294" s="57">
        <f t="shared" si="17"/>
        <v>0</v>
      </c>
      <c r="I294" s="166">
        <f t="shared" si="18"/>
        <v>54.978000000000009</v>
      </c>
      <c r="J294" s="25"/>
      <c r="K294" s="177">
        <v>0.39800000000000002</v>
      </c>
      <c r="L294" s="176">
        <f t="shared" si="19"/>
        <v>0</v>
      </c>
      <c r="M294" s="25"/>
    </row>
    <row r="295" spans="2:17" s="26" customFormat="1" x14ac:dyDescent="0.25">
      <c r="B295" s="27" t="s">
        <v>308</v>
      </c>
      <c r="C295" s="23" t="s">
        <v>300</v>
      </c>
      <c r="D295" s="28">
        <v>7.7</v>
      </c>
      <c r="E295" s="161">
        <v>0</v>
      </c>
      <c r="F295" s="11">
        <f>D295*(1-Cennik[[#This Row],[RABAT]])*(1-$C$324)</f>
        <v>7.7</v>
      </c>
      <c r="G295" s="85"/>
      <c r="H295" s="57">
        <f t="shared" si="17"/>
        <v>0</v>
      </c>
      <c r="I295" s="166">
        <f t="shared" si="18"/>
        <v>33.880000000000003</v>
      </c>
      <c r="J295" s="25"/>
      <c r="K295" s="177">
        <v>0.56999999999999995</v>
      </c>
      <c r="L295" s="176">
        <f t="shared" si="19"/>
        <v>0</v>
      </c>
      <c r="M295" s="25"/>
    </row>
    <row r="296" spans="2:17" s="26" customFormat="1" x14ac:dyDescent="0.25">
      <c r="B296" s="27" t="s">
        <v>308</v>
      </c>
      <c r="C296" s="23" t="s">
        <v>301</v>
      </c>
      <c r="D296" s="28">
        <v>9.98</v>
      </c>
      <c r="E296" s="161">
        <v>0</v>
      </c>
      <c r="F296" s="11">
        <f>D296*(1-Cennik[[#This Row],[RABAT]])*(1-$C$324)</f>
        <v>9.98</v>
      </c>
      <c r="G296" s="85"/>
      <c r="H296" s="57">
        <f t="shared" si="17"/>
        <v>0</v>
      </c>
      <c r="I296" s="166">
        <f t="shared" si="18"/>
        <v>43.912000000000006</v>
      </c>
      <c r="J296" s="25"/>
      <c r="K296" s="177">
        <v>0.84</v>
      </c>
      <c r="L296" s="176">
        <f t="shared" si="19"/>
        <v>0</v>
      </c>
      <c r="M296" s="25"/>
    </row>
    <row r="297" spans="2:17" s="26" customFormat="1" x14ac:dyDescent="0.25">
      <c r="B297" s="70" t="s">
        <v>307</v>
      </c>
      <c r="C297" s="72" t="s">
        <v>430</v>
      </c>
      <c r="D297" s="73">
        <v>17.96</v>
      </c>
      <c r="E297" s="161">
        <v>0</v>
      </c>
      <c r="F297" s="11">
        <f>D297*(1-Cennik[[#This Row],[RABAT]])*(1-$C$324)</f>
        <v>17.96</v>
      </c>
      <c r="G297" s="85"/>
      <c r="H297" s="57">
        <f t="shared" si="17"/>
        <v>0</v>
      </c>
      <c r="I297" s="166">
        <f t="shared" si="18"/>
        <v>79.024000000000015</v>
      </c>
      <c r="J297" s="25"/>
      <c r="K297" s="177">
        <v>0.84099999999999997</v>
      </c>
      <c r="L297" s="176">
        <f t="shared" si="19"/>
        <v>0</v>
      </c>
      <c r="M297" s="25"/>
      <c r="Q297" s="26" t="s">
        <v>344</v>
      </c>
    </row>
    <row r="298" spans="2:17" s="26" customFormat="1" x14ac:dyDescent="0.25">
      <c r="B298" s="65" t="s">
        <v>307</v>
      </c>
      <c r="C298" s="66" t="s">
        <v>431</v>
      </c>
      <c r="D298" s="73">
        <v>20.46</v>
      </c>
      <c r="E298" s="161">
        <v>0</v>
      </c>
      <c r="F298" s="11">
        <f>D298*(1-Cennik[[#This Row],[RABAT]])*(1-$C$324)</f>
        <v>20.46</v>
      </c>
      <c r="G298" s="85"/>
      <c r="H298" s="57">
        <f t="shared" si="17"/>
        <v>0</v>
      </c>
      <c r="I298" s="166">
        <f t="shared" si="18"/>
        <v>90.024000000000015</v>
      </c>
      <c r="J298" s="25"/>
      <c r="K298" s="177">
        <v>1.07</v>
      </c>
      <c r="L298" s="176">
        <f t="shared" si="19"/>
        <v>0</v>
      </c>
      <c r="M298" s="25"/>
    </row>
    <row r="299" spans="2:17" s="26" customFormat="1" x14ac:dyDescent="0.25">
      <c r="B299" s="27" t="s">
        <v>309</v>
      </c>
      <c r="C299" s="23" t="s">
        <v>246</v>
      </c>
      <c r="D299" s="28">
        <v>10.4</v>
      </c>
      <c r="E299" s="161">
        <v>0</v>
      </c>
      <c r="F299" s="11">
        <f>D299*(1-Cennik[[#This Row],[RABAT]])*(1-$C$324)</f>
        <v>10.4</v>
      </c>
      <c r="G299" s="85"/>
      <c r="H299" s="57">
        <f t="shared" si="17"/>
        <v>0</v>
      </c>
      <c r="I299" s="166">
        <f t="shared" si="18"/>
        <v>45.760000000000005</v>
      </c>
      <c r="J299" s="25"/>
      <c r="K299" s="177">
        <v>0.99</v>
      </c>
      <c r="L299" s="176">
        <f t="shared" si="19"/>
        <v>0</v>
      </c>
      <c r="M299" s="25"/>
    </row>
    <row r="300" spans="2:17" s="26" customFormat="1" x14ac:dyDescent="0.25">
      <c r="B300" s="27" t="s">
        <v>309</v>
      </c>
      <c r="C300" s="23" t="s">
        <v>247</v>
      </c>
      <c r="D300" s="28">
        <v>12</v>
      </c>
      <c r="E300" s="161">
        <v>0</v>
      </c>
      <c r="F300" s="11">
        <f>D300*(1-Cennik[[#This Row],[RABAT]])*(1-$C$324)</f>
        <v>12</v>
      </c>
      <c r="G300" s="85"/>
      <c r="H300" s="57">
        <f t="shared" si="17"/>
        <v>0</v>
      </c>
      <c r="I300" s="166">
        <f t="shared" si="18"/>
        <v>52.800000000000004</v>
      </c>
      <c r="J300" s="25"/>
      <c r="K300" s="177">
        <v>1</v>
      </c>
      <c r="L300" s="176">
        <f t="shared" si="19"/>
        <v>0</v>
      </c>
      <c r="M300" s="25"/>
    </row>
    <row r="301" spans="2:17" s="26" customFormat="1" x14ac:dyDescent="0.25">
      <c r="B301" s="27" t="s">
        <v>309</v>
      </c>
      <c r="C301" s="23" t="s">
        <v>248</v>
      </c>
      <c r="D301" s="28">
        <v>7.8</v>
      </c>
      <c r="E301" s="161">
        <v>0</v>
      </c>
      <c r="F301" s="11">
        <f>D301*(1-Cennik[[#This Row],[RABAT]])*(1-$C$324)</f>
        <v>7.8</v>
      </c>
      <c r="G301" s="85"/>
      <c r="H301" s="57">
        <f t="shared" si="17"/>
        <v>0</v>
      </c>
      <c r="I301" s="166">
        <f t="shared" si="18"/>
        <v>34.32</v>
      </c>
      <c r="J301" s="25"/>
      <c r="K301" s="177">
        <v>0.85</v>
      </c>
      <c r="L301" s="176">
        <f t="shared" si="19"/>
        <v>0</v>
      </c>
      <c r="M301" s="25"/>
    </row>
    <row r="302" spans="2:17" s="26" customFormat="1" x14ac:dyDescent="0.25">
      <c r="B302" s="27" t="s">
        <v>309</v>
      </c>
      <c r="C302" s="23" t="s">
        <v>249</v>
      </c>
      <c r="D302" s="28">
        <v>8.5120000000000005</v>
      </c>
      <c r="E302" s="161">
        <v>0</v>
      </c>
      <c r="F302" s="11">
        <f>D302*(1-Cennik[[#This Row],[RABAT]])*(1-$C$324)</f>
        <v>8.5120000000000005</v>
      </c>
      <c r="G302" s="85"/>
      <c r="H302" s="57">
        <f t="shared" si="17"/>
        <v>0</v>
      </c>
      <c r="I302" s="166">
        <f t="shared" si="18"/>
        <v>37.452800000000003</v>
      </c>
      <c r="J302" s="25"/>
      <c r="K302" s="177">
        <v>0.88400000000000001</v>
      </c>
      <c r="L302" s="176">
        <f t="shared" ref="L302:L316" si="20">G302*K302</f>
        <v>0</v>
      </c>
      <c r="M302" s="25"/>
    </row>
    <row r="303" spans="2:17" s="26" customFormat="1" x14ac:dyDescent="0.25">
      <c r="B303" s="27" t="s">
        <v>309</v>
      </c>
      <c r="C303" s="23" t="s">
        <v>250</v>
      </c>
      <c r="D303" s="28">
        <v>12.034285714285716</v>
      </c>
      <c r="E303" s="161">
        <v>0</v>
      </c>
      <c r="F303" s="11">
        <f>D303*(1-Cennik[[#This Row],[RABAT]])*(1-$C$324)</f>
        <v>12.034285714285716</v>
      </c>
      <c r="G303" s="85"/>
      <c r="H303" s="57">
        <f t="shared" si="17"/>
        <v>0</v>
      </c>
      <c r="I303" s="166">
        <f t="shared" si="18"/>
        <v>52.950857142857153</v>
      </c>
      <c r="J303" s="25"/>
      <c r="K303" s="177">
        <v>1.095</v>
      </c>
      <c r="L303" s="176">
        <f t="shared" si="20"/>
        <v>0</v>
      </c>
      <c r="M303" s="25"/>
    </row>
    <row r="304" spans="2:17" s="26" customFormat="1" x14ac:dyDescent="0.25">
      <c r="B304" s="27" t="s">
        <v>309</v>
      </c>
      <c r="C304" s="23" t="s">
        <v>251</v>
      </c>
      <c r="D304" s="28">
        <v>7.5238095238095246</v>
      </c>
      <c r="E304" s="161">
        <v>0</v>
      </c>
      <c r="F304" s="11">
        <f>D304*(1-Cennik[[#This Row],[RABAT]])*(1-$C$324)</f>
        <v>7.5238095238095246</v>
      </c>
      <c r="G304" s="85"/>
      <c r="H304" s="57">
        <f t="shared" si="17"/>
        <v>0</v>
      </c>
      <c r="I304" s="166">
        <f t="shared" si="18"/>
        <v>33.104761904761908</v>
      </c>
      <c r="J304" s="25"/>
      <c r="K304" s="177">
        <v>0.61599999999999999</v>
      </c>
      <c r="L304" s="176">
        <f t="shared" si="20"/>
        <v>0</v>
      </c>
      <c r="M304" s="25"/>
    </row>
    <row r="305" spans="1:13" s="26" customFormat="1" x14ac:dyDescent="0.25">
      <c r="B305" s="27" t="s">
        <v>309</v>
      </c>
      <c r="C305" s="23" t="s">
        <v>252</v>
      </c>
      <c r="D305" s="28">
        <v>11.440000000000001</v>
      </c>
      <c r="E305" s="161">
        <v>0</v>
      </c>
      <c r="F305" s="11">
        <f>D305*(1-Cennik[[#This Row],[RABAT]])*(1-$C$324)</f>
        <v>11.440000000000001</v>
      </c>
      <c r="G305" s="85"/>
      <c r="H305" s="57">
        <f t="shared" si="17"/>
        <v>0</v>
      </c>
      <c r="I305" s="166">
        <f t="shared" si="18"/>
        <v>50.336000000000013</v>
      </c>
      <c r="J305" s="25"/>
      <c r="K305" s="177">
        <v>0.92700000000000005</v>
      </c>
      <c r="L305" s="176">
        <f t="shared" si="20"/>
        <v>0</v>
      </c>
      <c r="M305" s="25"/>
    </row>
    <row r="306" spans="1:13" s="26" customFormat="1" x14ac:dyDescent="0.25">
      <c r="B306" s="27" t="s">
        <v>309</v>
      </c>
      <c r="C306" s="23" t="s">
        <v>253</v>
      </c>
      <c r="D306" s="28">
        <v>14.674285714285716</v>
      </c>
      <c r="E306" s="161">
        <v>0</v>
      </c>
      <c r="F306" s="11">
        <f>D306*(1-Cennik[[#This Row],[RABAT]])*(1-$C$324)</f>
        <v>14.674285714285716</v>
      </c>
      <c r="G306" s="85"/>
      <c r="H306" s="57">
        <f t="shared" si="17"/>
        <v>0</v>
      </c>
      <c r="I306" s="166">
        <f t="shared" si="18"/>
        <v>64.56685714285716</v>
      </c>
      <c r="J306" s="25"/>
      <c r="K306" s="177">
        <v>1.0860000000000001</v>
      </c>
      <c r="L306" s="176">
        <f t="shared" si="20"/>
        <v>0</v>
      </c>
      <c r="M306" s="25"/>
    </row>
    <row r="307" spans="1:13" s="26" customFormat="1" x14ac:dyDescent="0.25">
      <c r="B307" s="27" t="s">
        <v>309</v>
      </c>
      <c r="C307" s="23" t="s">
        <v>254</v>
      </c>
      <c r="D307" s="28">
        <v>10.091428571428573</v>
      </c>
      <c r="E307" s="161">
        <v>0</v>
      </c>
      <c r="F307" s="11">
        <f>D307*(1-Cennik[[#This Row],[RABAT]])*(1-$C$324)</f>
        <v>10.091428571428573</v>
      </c>
      <c r="G307" s="85"/>
      <c r="H307" s="57">
        <f t="shared" si="17"/>
        <v>0</v>
      </c>
      <c r="I307" s="166">
        <f t="shared" si="18"/>
        <v>44.402285714285725</v>
      </c>
      <c r="J307" s="25"/>
      <c r="K307" s="177">
        <v>1.0860000000000001</v>
      </c>
      <c r="L307" s="176">
        <f t="shared" si="20"/>
        <v>0</v>
      </c>
      <c r="M307" s="25"/>
    </row>
    <row r="308" spans="1:13" s="26" customFormat="1" x14ac:dyDescent="0.25">
      <c r="B308" s="27" t="s">
        <v>309</v>
      </c>
      <c r="C308" s="23" t="s">
        <v>255</v>
      </c>
      <c r="D308" s="28">
        <v>13.744</v>
      </c>
      <c r="E308" s="161">
        <v>0</v>
      </c>
      <c r="F308" s="11">
        <f>D308*(1-Cennik[[#This Row],[RABAT]])*(1-$C$324)</f>
        <v>13.744</v>
      </c>
      <c r="G308" s="85"/>
      <c r="H308" s="57">
        <f t="shared" si="17"/>
        <v>0</v>
      </c>
      <c r="I308" s="166">
        <f t="shared" si="18"/>
        <v>60.473600000000005</v>
      </c>
      <c r="J308" s="25"/>
      <c r="K308" s="177">
        <v>1.089</v>
      </c>
      <c r="L308" s="176">
        <f t="shared" si="20"/>
        <v>0</v>
      </c>
      <c r="M308" s="25"/>
    </row>
    <row r="309" spans="1:13" s="26" customFormat="1" x14ac:dyDescent="0.25">
      <c r="B309" s="27" t="s">
        <v>309</v>
      </c>
      <c r="C309" s="23" t="s">
        <v>256</v>
      </c>
      <c r="D309" s="28">
        <v>17.52</v>
      </c>
      <c r="E309" s="161">
        <v>0</v>
      </c>
      <c r="F309" s="11">
        <f>D309*(1-Cennik[[#This Row],[RABAT]])*(1-$C$324)</f>
        <v>17.52</v>
      </c>
      <c r="G309" s="85"/>
      <c r="H309" s="57">
        <f t="shared" si="17"/>
        <v>0</v>
      </c>
      <c r="I309" s="166">
        <f t="shared" si="18"/>
        <v>77.088000000000008</v>
      </c>
      <c r="J309" s="25"/>
      <c r="K309" s="177">
        <v>1.2030000000000001</v>
      </c>
      <c r="L309" s="176">
        <f t="shared" si="20"/>
        <v>0</v>
      </c>
      <c r="M309" s="25"/>
    </row>
    <row r="310" spans="1:13" s="26" customFormat="1" x14ac:dyDescent="0.25">
      <c r="B310" s="27" t="s">
        <v>309</v>
      </c>
      <c r="C310" s="23" t="s">
        <v>257</v>
      </c>
      <c r="D310" s="28">
        <v>12.144</v>
      </c>
      <c r="E310" s="161">
        <v>0</v>
      </c>
      <c r="F310" s="11">
        <f>D310*(1-Cennik[[#This Row],[RABAT]])*(1-$C$324)</f>
        <v>12.144</v>
      </c>
      <c r="G310" s="85"/>
      <c r="H310" s="57">
        <f t="shared" si="17"/>
        <v>0</v>
      </c>
      <c r="I310" s="166">
        <f t="shared" si="18"/>
        <v>53.433600000000006</v>
      </c>
      <c r="J310" s="25"/>
      <c r="K310" s="177">
        <v>0.81699999999999995</v>
      </c>
      <c r="L310" s="176">
        <f t="shared" si="20"/>
        <v>0</v>
      </c>
      <c r="M310" s="25"/>
    </row>
    <row r="311" spans="1:13" s="26" customFormat="1" x14ac:dyDescent="0.25">
      <c r="B311" s="27" t="s">
        <v>309</v>
      </c>
      <c r="C311" s="23" t="s">
        <v>258</v>
      </c>
      <c r="D311" s="28">
        <v>31.456000000000003</v>
      </c>
      <c r="E311" s="161">
        <v>0</v>
      </c>
      <c r="F311" s="11">
        <f>D311*(1-Cennik[[#This Row],[RABAT]])*(1-$C$324)</f>
        <v>31.456000000000003</v>
      </c>
      <c r="G311" s="85"/>
      <c r="H311" s="57">
        <f t="shared" si="17"/>
        <v>0</v>
      </c>
      <c r="I311" s="166">
        <f t="shared" si="18"/>
        <v>138.40640000000002</v>
      </c>
      <c r="J311" s="25"/>
      <c r="K311" s="177">
        <v>1.7410000000000001</v>
      </c>
      <c r="L311" s="176">
        <f t="shared" si="20"/>
        <v>0</v>
      </c>
      <c r="M311" s="25"/>
    </row>
    <row r="312" spans="1:13" s="26" customFormat="1" x14ac:dyDescent="0.25">
      <c r="B312" s="27" t="s">
        <v>309</v>
      </c>
      <c r="C312" s="23" t="s">
        <v>259</v>
      </c>
      <c r="D312" s="28">
        <v>39.908571428571435</v>
      </c>
      <c r="E312" s="161">
        <v>0</v>
      </c>
      <c r="F312" s="11">
        <f>D312*(1-Cennik[[#This Row],[RABAT]])*(1-$C$324)</f>
        <v>39.908571428571435</v>
      </c>
      <c r="G312" s="85"/>
      <c r="H312" s="57">
        <f t="shared" si="17"/>
        <v>0</v>
      </c>
      <c r="I312" s="166">
        <f t="shared" si="18"/>
        <v>175.59771428571432</v>
      </c>
      <c r="J312" s="25"/>
      <c r="K312" s="177">
        <v>2.548</v>
      </c>
      <c r="L312" s="176">
        <f t="shared" si="20"/>
        <v>0</v>
      </c>
      <c r="M312" s="25"/>
    </row>
    <row r="313" spans="1:13" s="26" customFormat="1" x14ac:dyDescent="0.25">
      <c r="B313" s="27" t="s">
        <v>309</v>
      </c>
      <c r="C313" s="23" t="s">
        <v>260</v>
      </c>
      <c r="D313" s="28">
        <v>29.401904761904763</v>
      </c>
      <c r="E313" s="161">
        <v>0</v>
      </c>
      <c r="F313" s="11">
        <f>D313*(1-Cennik[[#This Row],[RABAT]])*(1-$C$324)</f>
        <v>29.401904761904763</v>
      </c>
      <c r="G313" s="85"/>
      <c r="H313" s="57">
        <f t="shared" si="17"/>
        <v>0</v>
      </c>
      <c r="I313" s="166">
        <f t="shared" si="18"/>
        <v>129.36838095238096</v>
      </c>
      <c r="J313" s="25"/>
      <c r="K313" s="177">
        <v>1.641</v>
      </c>
      <c r="L313" s="176">
        <f t="shared" si="20"/>
        <v>0</v>
      </c>
      <c r="M313" s="25"/>
    </row>
    <row r="314" spans="1:13" s="26" customFormat="1" x14ac:dyDescent="0.25">
      <c r="B314" s="29" t="s">
        <v>309</v>
      </c>
      <c r="C314" s="30" t="s">
        <v>298</v>
      </c>
      <c r="D314" s="31">
        <v>1</v>
      </c>
      <c r="E314" s="161">
        <v>0</v>
      </c>
      <c r="F314" s="11">
        <f>D314*(1-Cennik[[#This Row],[RABAT]])*(1-$C$324)</f>
        <v>1</v>
      </c>
      <c r="G314" s="85"/>
      <c r="H314" s="57">
        <f t="shared" si="17"/>
        <v>0</v>
      </c>
      <c r="I314" s="166">
        <f t="shared" si="18"/>
        <v>4.4000000000000004</v>
      </c>
      <c r="J314" s="25"/>
      <c r="K314" s="177">
        <v>0.08</v>
      </c>
      <c r="L314" s="176">
        <f t="shared" si="20"/>
        <v>0</v>
      </c>
      <c r="M314" s="25"/>
    </row>
    <row r="315" spans="1:13" s="26" customFormat="1" x14ac:dyDescent="0.25">
      <c r="B315" s="29" t="s">
        <v>309</v>
      </c>
      <c r="C315" s="32" t="s">
        <v>299</v>
      </c>
      <c r="D315" s="33">
        <v>1</v>
      </c>
      <c r="E315" s="161">
        <v>0</v>
      </c>
      <c r="F315" s="11">
        <f>D315*(1-Cennik[[#This Row],[RABAT]])*(1-$C$324)</f>
        <v>1</v>
      </c>
      <c r="G315" s="85"/>
      <c r="H315" s="57">
        <f t="shared" si="17"/>
        <v>0</v>
      </c>
      <c r="I315" s="166">
        <f t="shared" si="18"/>
        <v>4.4000000000000004</v>
      </c>
      <c r="J315" s="25"/>
      <c r="K315" s="177">
        <v>7.0000000000000007E-2</v>
      </c>
      <c r="L315" s="176">
        <f t="shared" si="20"/>
        <v>0</v>
      </c>
      <c r="M315" s="25"/>
    </row>
    <row r="316" spans="1:13" s="26" customFormat="1" ht="15.75" thickBot="1" x14ac:dyDescent="0.3">
      <c r="B316" s="34" t="s">
        <v>310</v>
      </c>
      <c r="C316" s="35" t="s">
        <v>311</v>
      </c>
      <c r="D316" s="74">
        <v>4.5199999999999996</v>
      </c>
      <c r="E316" s="168">
        <v>0</v>
      </c>
      <c r="F316" s="169">
        <f>D316*(1-Cennik[[#This Row],[RABAT]])*(1-$C$324)</f>
        <v>4.5199999999999996</v>
      </c>
      <c r="G316" s="170"/>
      <c r="H316" s="171">
        <f t="shared" si="17"/>
        <v>0</v>
      </c>
      <c r="I316" s="172">
        <f t="shared" si="18"/>
        <v>19.887999999999998</v>
      </c>
      <c r="J316" s="25"/>
      <c r="K316" s="177">
        <v>0.11600000000000001</v>
      </c>
      <c r="L316" s="176">
        <f t="shared" si="20"/>
        <v>0</v>
      </c>
      <c r="M316" s="25"/>
    </row>
    <row r="317" spans="1:13" s="26" customFormat="1" ht="15.75" thickBot="1" x14ac:dyDescent="0.25">
      <c r="B317" s="25"/>
      <c r="C317" s="25"/>
      <c r="D317" s="25"/>
      <c r="E317" s="25"/>
      <c r="F317" s="192" t="s">
        <v>244</v>
      </c>
      <c r="G317" s="193">
        <f>SUM(H8:H316)</f>
        <v>0</v>
      </c>
      <c r="H317" s="25"/>
      <c r="I317" s="25"/>
      <c r="K317" s="178" t="s">
        <v>410</v>
      </c>
      <c r="L317" s="179">
        <f>SUM(L8:L316)</f>
        <v>0</v>
      </c>
    </row>
    <row r="318" spans="1:13" s="26" customFormat="1" x14ac:dyDescent="0.2">
      <c r="B318" s="182" t="s">
        <v>420</v>
      </c>
      <c r="C318" s="183"/>
      <c r="D318" s="160"/>
      <c r="E318" s="160"/>
      <c r="F318" s="194" t="s">
        <v>245</v>
      </c>
      <c r="G318" s="195">
        <f>C318*C321</f>
        <v>0</v>
      </c>
      <c r="H318" s="25"/>
      <c r="I318" s="25"/>
      <c r="K318" s="25"/>
      <c r="L318" s="25"/>
    </row>
    <row r="319" spans="1:13" s="26" customFormat="1" x14ac:dyDescent="0.2">
      <c r="B319" s="184" t="s">
        <v>419</v>
      </c>
      <c r="C319" s="185">
        <f>'Komponenty pozasystemowe'!C20</f>
        <v>0</v>
      </c>
      <c r="D319" s="160"/>
      <c r="E319" s="160"/>
      <c r="F319" s="194" t="s">
        <v>437</v>
      </c>
      <c r="G319" s="195">
        <f>(C319*$C$322)/$C$323</f>
        <v>0</v>
      </c>
      <c r="H319" s="25"/>
      <c r="I319" s="25"/>
      <c r="K319" s="25"/>
      <c r="L319" s="25"/>
    </row>
    <row r="320" spans="1:13" s="26" customFormat="1" ht="15" customHeight="1" x14ac:dyDescent="0.2">
      <c r="A320" s="56"/>
      <c r="B320" s="186" t="s">
        <v>436</v>
      </c>
      <c r="C320" s="185"/>
      <c r="D320" s="56"/>
      <c r="E320" s="160"/>
      <c r="F320" s="194" t="s">
        <v>244</v>
      </c>
      <c r="G320" s="196">
        <f>G317+G318+G319</f>
        <v>0</v>
      </c>
      <c r="H320" s="25"/>
      <c r="I320" s="25"/>
      <c r="J320" s="56"/>
      <c r="K320" s="25"/>
      <c r="L320" s="25"/>
    </row>
    <row r="321" spans="1:11" ht="16.5" thickBot="1" x14ac:dyDescent="0.3">
      <c r="A321" s="56"/>
      <c r="B321" s="187" t="s">
        <v>422</v>
      </c>
      <c r="C321" s="188">
        <v>15</v>
      </c>
      <c r="D321" s="56"/>
      <c r="F321" s="197" t="s">
        <v>349</v>
      </c>
      <c r="G321" s="198">
        <f>G320*C323</f>
        <v>0</v>
      </c>
      <c r="J321" s="8"/>
      <c r="K321" s="8"/>
    </row>
    <row r="322" spans="1:11" x14ac:dyDescent="0.25">
      <c r="A322" s="56"/>
      <c r="B322" s="177" t="s">
        <v>347</v>
      </c>
      <c r="C322" s="189">
        <v>1.5</v>
      </c>
      <c r="D322" s="56"/>
      <c r="J322" s="8"/>
      <c r="K322" s="8"/>
    </row>
    <row r="323" spans="1:11" x14ac:dyDescent="0.25">
      <c r="B323" s="177" t="s">
        <v>348</v>
      </c>
      <c r="C323" s="190">
        <v>4.4000000000000004</v>
      </c>
      <c r="J323" s="8"/>
      <c r="K323" s="8"/>
    </row>
    <row r="324" spans="1:11" ht="15.75" thickBot="1" x14ac:dyDescent="0.3">
      <c r="B324" s="178" t="s">
        <v>376</v>
      </c>
      <c r="C324" s="191">
        <v>0</v>
      </c>
      <c r="J324" s="8"/>
      <c r="K324" s="8"/>
    </row>
    <row r="325" spans="1:11" x14ac:dyDescent="0.25">
      <c r="C325" s="3"/>
    </row>
  </sheetData>
  <mergeCells count="2">
    <mergeCell ref="O199:O200"/>
    <mergeCell ref="B5:I6"/>
  </mergeCells>
  <dataValidations count="2">
    <dataValidation type="whole" allowBlank="1" showInputMessage="1" showErrorMessage="1" error="Ta komórka przyjmuje jedynie pełne liczby!" sqref="C318" xr:uid="{BA879F69-01CF-4DB4-8AC9-6F743F6087A2}">
      <formula1>1</formula1>
      <formula2>500</formula2>
    </dataValidation>
    <dataValidation type="list" allowBlank="1" showInputMessage="1" showErrorMessage="1" sqref="C320" xr:uid="{29BE0A07-CBD5-49C3-B934-46A0716DD2B1}">
      <formula1>INDIRECT("Projektanci")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A3659-1203-4947-9A43-B8CB53D45C44}">
  <sheetPr codeName="Arkusz2"/>
  <dimension ref="B2:K21"/>
  <sheetViews>
    <sheetView showGridLines="0" workbookViewId="0">
      <selection activeCell="F4" sqref="F4"/>
    </sheetView>
  </sheetViews>
  <sheetFormatPr defaultRowHeight="15" x14ac:dyDescent="0.25"/>
  <cols>
    <col min="1" max="1" width="2.85546875" customWidth="1"/>
    <col min="2" max="2" width="34" bestFit="1" customWidth="1"/>
    <col min="3" max="3" width="12.140625" customWidth="1"/>
    <col min="4" max="4" width="11.85546875" customWidth="1"/>
    <col min="5" max="5" width="16.28515625" customWidth="1"/>
    <col min="6" max="6" width="17.28515625" customWidth="1"/>
    <col min="7" max="7" width="12" customWidth="1"/>
  </cols>
  <sheetData>
    <row r="2" spans="2:11" x14ac:dyDescent="0.25">
      <c r="B2" s="153" t="s">
        <v>412</v>
      </c>
      <c r="C2" s="153"/>
      <c r="D2" s="153"/>
      <c r="E2" s="153"/>
      <c r="F2" s="153"/>
      <c r="G2" s="153"/>
    </row>
    <row r="3" spans="2:11" x14ac:dyDescent="0.25">
      <c r="B3" s="89" t="s">
        <v>405</v>
      </c>
      <c r="C3" s="90" t="s">
        <v>408</v>
      </c>
      <c r="D3" s="90" t="s">
        <v>407</v>
      </c>
      <c r="E3" s="90" t="s">
        <v>456</v>
      </c>
      <c r="F3" s="90" t="s">
        <v>406</v>
      </c>
      <c r="G3" s="91" t="s">
        <v>409</v>
      </c>
    </row>
    <row r="4" spans="2:11" x14ac:dyDescent="0.25">
      <c r="B4" s="86"/>
      <c r="C4" s="94">
        <v>1</v>
      </c>
      <c r="D4" s="94"/>
      <c r="E4" s="87"/>
      <c r="F4" s="87"/>
      <c r="G4" s="92"/>
    </row>
    <row r="5" spans="2:11" x14ac:dyDescent="0.25">
      <c r="B5" s="147" t="s">
        <v>453</v>
      </c>
      <c r="C5" s="203">
        <f>(SUM((SUMPRODUCT(KomponentyBlaty[Ilość sztuk]*KomponentyBlaty[Szerokość]*2)),SUMPRODUCT(KomponentyBlaty[Ilość sztuk]*KomponentyBlaty[Głębokość]*2)))*0.01*Baza!J9</f>
        <v>0</v>
      </c>
      <c r="F5" s="46"/>
      <c r="G5" s="46"/>
    </row>
    <row r="6" spans="2:11" x14ac:dyDescent="0.25">
      <c r="B6" s="147" t="s">
        <v>457</v>
      </c>
      <c r="C6" s="106"/>
      <c r="F6" s="45"/>
      <c r="G6" s="45"/>
    </row>
    <row r="7" spans="2:11" x14ac:dyDescent="0.25">
      <c r="B7" s="147" t="s">
        <v>410</v>
      </c>
      <c r="C7" s="203">
        <f>C5+C6</f>
        <v>0</v>
      </c>
      <c r="F7" s="45"/>
      <c r="G7" s="45"/>
    </row>
    <row r="8" spans="2:11" x14ac:dyDescent="0.25">
      <c r="F8" s="43"/>
      <c r="G8" s="43"/>
      <c r="H8" s="44"/>
    </row>
    <row r="9" spans="2:11" x14ac:dyDescent="0.25">
      <c r="B9" s="153" t="s">
        <v>411</v>
      </c>
      <c r="C9" s="153"/>
      <c r="D9" s="153"/>
      <c r="E9" s="153"/>
      <c r="F9" s="153"/>
      <c r="G9" s="153"/>
      <c r="H9" s="45"/>
    </row>
    <row r="10" spans="2:11" ht="30.75" customHeight="1" x14ac:dyDescent="0.25">
      <c r="B10" s="53" t="s">
        <v>377</v>
      </c>
      <c r="C10" s="54" t="s">
        <v>408</v>
      </c>
      <c r="D10" s="54" t="s">
        <v>378</v>
      </c>
      <c r="E10" s="54" t="s">
        <v>415</v>
      </c>
      <c r="F10" s="54" t="s">
        <v>379</v>
      </c>
      <c r="G10" s="55" t="s">
        <v>435</v>
      </c>
      <c r="H10" s="45"/>
    </row>
    <row r="11" spans="2:11" x14ac:dyDescent="0.25">
      <c r="B11" s="86"/>
      <c r="C11" s="94">
        <v>1</v>
      </c>
      <c r="D11" s="110" t="str">
        <f>IFERROR(VLOOKUP('Komponenty pozasystemowe'!$B11,Elektryka[],2,FALSE),"")</f>
        <v/>
      </c>
      <c r="E11" s="110">
        <f>IFERROR(('Komponenty pozasystemowe'!$C11*'Komponenty pozasystemowe'!$D11),0)</f>
        <v>0</v>
      </c>
      <c r="F11" s="103" t="str">
        <f>IFERROR(VLOOKUP('Komponenty pozasystemowe'!$B11,Elektryka[],3,FALSE),"")</f>
        <v/>
      </c>
      <c r="G11" s="104"/>
      <c r="H11" s="45"/>
    </row>
    <row r="12" spans="2:11" x14ac:dyDescent="0.25">
      <c r="B12" s="102" t="s">
        <v>410</v>
      </c>
      <c r="C12" s="107">
        <f>SUM(KomponentyElektryka[Wartość łączna])</f>
        <v>0</v>
      </c>
      <c r="D12" s="101"/>
      <c r="E12" s="101"/>
      <c r="F12" s="101"/>
      <c r="G12" s="101"/>
      <c r="H12" s="45"/>
    </row>
    <row r="13" spans="2:11" x14ac:dyDescent="0.25">
      <c r="B13" s="101"/>
      <c r="C13" s="101"/>
      <c r="D13" s="101"/>
      <c r="E13" s="101"/>
      <c r="F13" s="101"/>
      <c r="G13" s="101"/>
      <c r="H13" s="45"/>
    </row>
    <row r="14" spans="2:11" x14ac:dyDescent="0.25">
      <c r="B14" s="153" t="s">
        <v>414</v>
      </c>
      <c r="C14" s="153"/>
      <c r="D14" s="153"/>
      <c r="E14" s="153"/>
      <c r="F14" s="153"/>
      <c r="G14" s="153"/>
      <c r="H14" s="43"/>
      <c r="I14" s="43"/>
      <c r="J14" s="43"/>
      <c r="K14" s="43"/>
    </row>
    <row r="15" spans="2:11" x14ac:dyDescent="0.25">
      <c r="B15" s="89" t="s">
        <v>377</v>
      </c>
      <c r="C15" s="90" t="s">
        <v>408</v>
      </c>
      <c r="D15" s="90" t="s">
        <v>378</v>
      </c>
      <c r="E15" s="90" t="s">
        <v>415</v>
      </c>
      <c r="F15" s="90" t="s">
        <v>413</v>
      </c>
      <c r="G15" s="91" t="s">
        <v>379</v>
      </c>
      <c r="H15" s="43"/>
      <c r="I15" s="43"/>
      <c r="J15" s="43"/>
      <c r="K15" s="43"/>
    </row>
    <row r="16" spans="2:11" x14ac:dyDescent="0.25">
      <c r="B16" s="93"/>
      <c r="C16" s="94">
        <v>1</v>
      </c>
      <c r="D16" s="111"/>
      <c r="E16" s="110">
        <f>KomponentyInne[[#This Row],[Ilość sztuk]]*KomponentyInne[[#This Row],[Cena]]</f>
        <v>0</v>
      </c>
      <c r="F16" s="94"/>
      <c r="G16" s="105"/>
      <c r="H16" s="43"/>
      <c r="I16" s="43"/>
      <c r="J16" s="43"/>
      <c r="K16" s="43"/>
    </row>
    <row r="17" spans="2:11" x14ac:dyDescent="0.25">
      <c r="B17" s="96" t="s">
        <v>410</v>
      </c>
      <c r="C17" s="108">
        <f>SUM(KomponentyInne[Wartość łączna])</f>
        <v>0</v>
      </c>
      <c r="G17" s="43"/>
      <c r="H17" s="43"/>
      <c r="I17" s="43"/>
      <c r="J17" s="43"/>
      <c r="K17" s="43"/>
    </row>
    <row r="18" spans="2:11" x14ac:dyDescent="0.25">
      <c r="G18" s="43"/>
      <c r="H18" s="43"/>
      <c r="I18" s="43"/>
      <c r="J18" s="43"/>
      <c r="K18" s="43"/>
    </row>
    <row r="19" spans="2:11" x14ac:dyDescent="0.25">
      <c r="B19" s="153" t="s">
        <v>418</v>
      </c>
      <c r="C19" s="153"/>
      <c r="G19" s="43"/>
      <c r="H19" s="43"/>
      <c r="I19" s="43"/>
    </row>
    <row r="20" spans="2:11" x14ac:dyDescent="0.25">
      <c r="B20" s="95" t="s">
        <v>433</v>
      </c>
      <c r="C20" s="109">
        <f>C7+C12+C17</f>
        <v>0</v>
      </c>
      <c r="G20" s="43"/>
      <c r="H20" s="43"/>
      <c r="I20" s="43"/>
    </row>
    <row r="21" spans="2:11" x14ac:dyDescent="0.25">
      <c r="G21" s="43"/>
      <c r="H21" s="43"/>
      <c r="I21" s="43"/>
    </row>
  </sheetData>
  <sheetProtection algorithmName="SHA-512" hashValue="t2SCCfeSQBKP5y1GiLz4/Kq3Fa2cxyIWgDAiw/qCUdEIBMgDTqiHQQoig/dP4kpW8hC6ByrdEu5MHZH2/VKuyw==" saltValue="AexO9Vu/40Pq5AvCawFLzw==" spinCount="100000" sheet="1" objects="1" scenarios="1"/>
  <dataConsolidate/>
  <mergeCells count="4">
    <mergeCell ref="B19:C19"/>
    <mergeCell ref="B2:G2"/>
    <mergeCell ref="B14:G14"/>
    <mergeCell ref="B9:G9"/>
  </mergeCells>
  <dataValidations count="6">
    <dataValidation type="whole" showInputMessage="1" showErrorMessage="1" sqref="C11 C4" xr:uid="{DA00E787-C99E-4F65-8BD7-3F97E3F3CD29}">
      <formula1>1</formula1>
      <formula2>99999</formula2>
    </dataValidation>
    <dataValidation type="whole" allowBlank="1" showInputMessage="1" showErrorMessage="1" sqref="C16" xr:uid="{0A913753-E90D-4DDF-9168-3A27DB99ABA5}">
      <formula1>1</formula1>
      <formula2>99999</formula2>
    </dataValidation>
    <dataValidation type="list" allowBlank="1" showInputMessage="1" showErrorMessage="1" sqref="G4" xr:uid="{091D424C-7F32-4FC7-A716-8A279B7A6DD8}">
      <formula1>"Tak, Nie"</formula1>
    </dataValidation>
    <dataValidation type="list" allowBlank="1" showInputMessage="1" showErrorMessage="1" sqref="B4" xr:uid="{3FA1023C-DE84-41DF-AE32-FFA66B3EB6F3}">
      <formula1>INDIRECT("Kolory")</formula1>
    </dataValidation>
    <dataValidation type="list" allowBlank="1" showInputMessage="1" showErrorMessage="1" sqref="F4" xr:uid="{60EA94DF-CD5E-4832-B3D3-EB84EF8D3C14}">
      <formula1>INDIRECT("Grubość")</formula1>
    </dataValidation>
    <dataValidation type="list" allowBlank="1" showInputMessage="1" showErrorMessage="1" sqref="B11" xr:uid="{A5C68E7A-7F0F-4D11-8BB8-D86646FB53DB}">
      <formula1>INDIRECT("Elektryka[Komponent]")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206A-34FB-4AC5-B86C-F40964696C16}">
  <sheetPr codeName="Arkusz4"/>
  <dimension ref="A1:I345"/>
  <sheetViews>
    <sheetView workbookViewId="0">
      <selection activeCell="AA324" sqref="AA324"/>
    </sheetView>
  </sheetViews>
  <sheetFormatPr defaultRowHeight="15" x14ac:dyDescent="0.25"/>
  <cols>
    <col min="1" max="1" width="22.28515625" bestFit="1" customWidth="1"/>
    <col min="2" max="8" width="6.7109375" customWidth="1"/>
  </cols>
  <sheetData>
    <row r="1" spans="1:8" ht="15" customHeight="1" x14ac:dyDescent="0.25">
      <c r="A1" s="154" t="e">
        <f>cennik!B5:H6</f>
        <v>#VALUE!</v>
      </c>
      <c r="B1" s="154"/>
      <c r="C1" s="154"/>
      <c r="D1" s="154"/>
      <c r="E1" s="154"/>
      <c r="F1" s="154"/>
      <c r="G1" s="154"/>
      <c r="H1" s="154"/>
    </row>
    <row r="2" spans="1:8" ht="15" customHeight="1" x14ac:dyDescent="0.25">
      <c r="A2" s="154"/>
      <c r="B2" s="154"/>
      <c r="C2" s="154"/>
      <c r="D2" s="154"/>
      <c r="E2" s="154"/>
      <c r="F2" s="154"/>
      <c r="G2" s="154"/>
      <c r="H2" s="154"/>
    </row>
    <row r="3" spans="1:8" ht="15" customHeight="1" x14ac:dyDescent="0.25">
      <c r="A3" s="127"/>
      <c r="B3" s="154" t="s">
        <v>445</v>
      </c>
      <c r="C3" s="154"/>
      <c r="D3" s="154"/>
      <c r="E3" s="154"/>
      <c r="F3" s="154"/>
      <c r="G3" s="154"/>
      <c r="H3" s="154"/>
    </row>
    <row r="4" spans="1:8" x14ac:dyDescent="0.25">
      <c r="A4" s="128" t="s">
        <v>439</v>
      </c>
      <c r="B4" s="128" t="s">
        <v>451</v>
      </c>
      <c r="C4" s="141"/>
      <c r="D4" s="142"/>
      <c r="E4" s="143"/>
      <c r="F4" s="143"/>
      <c r="G4" s="143"/>
      <c r="H4" s="143"/>
    </row>
    <row r="5" spans="1:8" x14ac:dyDescent="0.25">
      <c r="A5" s="129" t="s">
        <v>261</v>
      </c>
      <c r="B5" s="130">
        <f>cennik!G8</f>
        <v>0</v>
      </c>
      <c r="C5" s="144"/>
      <c r="D5" s="145"/>
      <c r="E5" s="146"/>
      <c r="F5" s="146"/>
      <c r="G5" s="146"/>
      <c r="H5" s="146"/>
    </row>
    <row r="6" spans="1:8" x14ac:dyDescent="0.25">
      <c r="A6" s="129" t="s">
        <v>262</v>
      </c>
      <c r="B6" s="130">
        <f>cennik!G9</f>
        <v>0</v>
      </c>
      <c r="C6" s="144"/>
      <c r="D6" s="145"/>
      <c r="E6" s="146"/>
      <c r="F6" s="146"/>
      <c r="G6" s="146"/>
      <c r="H6" s="146"/>
    </row>
    <row r="7" spans="1:8" x14ac:dyDescent="0.25">
      <c r="A7" s="131" t="s">
        <v>263</v>
      </c>
      <c r="B7" s="130">
        <f>cennik!G10</f>
        <v>0</v>
      </c>
      <c r="C7" s="144"/>
      <c r="D7" s="145"/>
      <c r="E7" s="146"/>
      <c r="F7" s="146"/>
      <c r="G7" s="146"/>
      <c r="H7" s="146"/>
    </row>
    <row r="8" spans="1:8" x14ac:dyDescent="0.25">
      <c r="A8" s="131" t="s">
        <v>264</v>
      </c>
      <c r="B8" s="130">
        <f>cennik!G11</f>
        <v>0</v>
      </c>
      <c r="C8" s="144"/>
      <c r="D8" s="145"/>
      <c r="E8" s="146"/>
      <c r="F8" s="146"/>
      <c r="G8" s="146"/>
      <c r="H8" s="146"/>
    </row>
    <row r="9" spans="1:8" x14ac:dyDescent="0.25">
      <c r="A9" s="132" t="s">
        <v>265</v>
      </c>
      <c r="B9" s="130">
        <f>cennik!G12</f>
        <v>0</v>
      </c>
      <c r="C9" s="144"/>
      <c r="D9" s="145"/>
      <c r="E9" s="146"/>
      <c r="F9" s="146"/>
      <c r="G9" s="146"/>
      <c r="H9" s="146"/>
    </row>
    <row r="10" spans="1:8" x14ac:dyDescent="0.25">
      <c r="A10" s="133" t="s">
        <v>266</v>
      </c>
      <c r="B10" s="130">
        <f>cennik!G13</f>
        <v>0</v>
      </c>
      <c r="C10" s="144"/>
      <c r="D10" s="145"/>
      <c r="E10" s="146"/>
      <c r="F10" s="146"/>
      <c r="G10" s="146"/>
      <c r="H10" s="146"/>
    </row>
    <row r="11" spans="1:8" x14ac:dyDescent="0.25">
      <c r="A11" s="134" t="s">
        <v>0</v>
      </c>
      <c r="B11" s="130">
        <f>cennik!G14</f>
        <v>0</v>
      </c>
      <c r="C11" s="144"/>
      <c r="D11" s="145"/>
      <c r="E11" s="146"/>
      <c r="F11" s="146"/>
      <c r="G11" s="146"/>
      <c r="H11" s="146"/>
    </row>
    <row r="12" spans="1:8" x14ac:dyDescent="0.25">
      <c r="A12" s="134" t="s">
        <v>1</v>
      </c>
      <c r="B12" s="130">
        <f>cennik!G15</f>
        <v>0</v>
      </c>
      <c r="C12" s="144"/>
      <c r="D12" s="145"/>
      <c r="E12" s="146"/>
      <c r="F12" s="146"/>
      <c r="G12" s="146"/>
      <c r="H12" s="146"/>
    </row>
    <row r="13" spans="1:8" x14ac:dyDescent="0.25">
      <c r="A13" s="135" t="s">
        <v>2</v>
      </c>
      <c r="B13" s="130">
        <f>cennik!G16</f>
        <v>0</v>
      </c>
      <c r="C13" s="144"/>
      <c r="D13" s="145"/>
      <c r="E13" s="146"/>
      <c r="F13" s="146"/>
      <c r="G13" s="146"/>
      <c r="H13" s="146"/>
    </row>
    <row r="14" spans="1:8" x14ac:dyDescent="0.25">
      <c r="A14" s="135" t="s">
        <v>3</v>
      </c>
      <c r="B14" s="130">
        <f>cennik!G17</f>
        <v>0</v>
      </c>
      <c r="C14" s="144"/>
      <c r="D14" s="145"/>
      <c r="E14" s="146"/>
      <c r="F14" s="146"/>
      <c r="G14" s="146"/>
      <c r="H14" s="146"/>
    </row>
    <row r="15" spans="1:8" x14ac:dyDescent="0.25">
      <c r="A15" s="136" t="s">
        <v>243</v>
      </c>
      <c r="B15" s="130">
        <f>cennik!G18</f>
        <v>0</v>
      </c>
      <c r="C15" s="144"/>
      <c r="D15" s="145"/>
      <c r="E15" s="146"/>
      <c r="F15" s="146"/>
      <c r="G15" s="146"/>
      <c r="H15" s="146"/>
    </row>
    <row r="16" spans="1:8" x14ac:dyDescent="0.25">
      <c r="A16" s="136" t="s">
        <v>4</v>
      </c>
      <c r="B16" s="130">
        <f>cennik!G19</f>
        <v>0</v>
      </c>
      <c r="C16" s="144"/>
      <c r="D16" s="145"/>
      <c r="E16" s="146"/>
      <c r="F16" s="146"/>
      <c r="G16" s="146"/>
      <c r="H16" s="146"/>
    </row>
    <row r="17" spans="1:8" x14ac:dyDescent="0.25">
      <c r="A17" s="129" t="s">
        <v>5</v>
      </c>
      <c r="B17" s="130">
        <f>cennik!G20</f>
        <v>0</v>
      </c>
      <c r="C17" s="144"/>
      <c r="D17" s="145"/>
      <c r="E17" s="146"/>
      <c r="F17" s="146"/>
      <c r="G17" s="146"/>
      <c r="H17" s="146"/>
    </row>
    <row r="18" spans="1:8" x14ac:dyDescent="0.25">
      <c r="A18" s="134" t="s">
        <v>6</v>
      </c>
      <c r="B18" s="130">
        <f>cennik!G21</f>
        <v>0</v>
      </c>
      <c r="C18" s="144"/>
      <c r="D18" s="145"/>
      <c r="E18" s="146"/>
      <c r="F18" s="146"/>
      <c r="G18" s="146"/>
      <c r="H18" s="146"/>
    </row>
    <row r="19" spans="1:8" x14ac:dyDescent="0.25">
      <c r="A19" s="129" t="s">
        <v>7</v>
      </c>
      <c r="B19" s="130">
        <f>cennik!G22</f>
        <v>0</v>
      </c>
      <c r="C19" s="144"/>
      <c r="D19" s="145"/>
      <c r="E19" s="146"/>
      <c r="F19" s="146"/>
      <c r="G19" s="146"/>
      <c r="H19" s="146"/>
    </row>
    <row r="20" spans="1:8" x14ac:dyDescent="0.25">
      <c r="A20" s="129" t="s">
        <v>8</v>
      </c>
      <c r="B20" s="130">
        <f>cennik!G23</f>
        <v>0</v>
      </c>
      <c r="C20" s="144"/>
      <c r="D20" s="145"/>
      <c r="E20" s="146"/>
      <c r="F20" s="146"/>
      <c r="G20" s="146"/>
      <c r="H20" s="146"/>
    </row>
    <row r="21" spans="1:8" x14ac:dyDescent="0.25">
      <c r="A21" s="129" t="s">
        <v>9</v>
      </c>
      <c r="B21" s="130">
        <f>cennik!G24</f>
        <v>0</v>
      </c>
      <c r="C21" s="144"/>
      <c r="D21" s="145"/>
      <c r="E21" s="146"/>
      <c r="F21" s="146"/>
      <c r="G21" s="146"/>
      <c r="H21" s="146"/>
    </row>
    <row r="22" spans="1:8" x14ac:dyDescent="0.25">
      <c r="A22" s="129" t="s">
        <v>10</v>
      </c>
      <c r="B22" s="130">
        <f>cennik!G25</f>
        <v>0</v>
      </c>
      <c r="C22" s="144"/>
      <c r="D22" s="145"/>
      <c r="E22" s="146"/>
      <c r="F22" s="146"/>
      <c r="G22" s="146"/>
      <c r="H22" s="146"/>
    </row>
    <row r="23" spans="1:8" x14ac:dyDescent="0.25">
      <c r="A23" s="129" t="s">
        <v>11</v>
      </c>
      <c r="B23" s="130">
        <f>cennik!G26</f>
        <v>0</v>
      </c>
      <c r="C23" s="144"/>
      <c r="D23" s="145"/>
      <c r="E23" s="146"/>
      <c r="F23" s="146"/>
      <c r="G23" s="146"/>
      <c r="H23" s="146"/>
    </row>
    <row r="24" spans="1:8" x14ac:dyDescent="0.25">
      <c r="A24" s="129" t="s">
        <v>12</v>
      </c>
      <c r="B24" s="130">
        <f>cennik!G27</f>
        <v>0</v>
      </c>
      <c r="C24" s="144"/>
      <c r="D24" s="145"/>
      <c r="E24" s="146"/>
      <c r="F24" s="146"/>
      <c r="G24" s="146"/>
      <c r="H24" s="146"/>
    </row>
    <row r="25" spans="1:8" x14ac:dyDescent="0.25">
      <c r="A25" s="129" t="s">
        <v>13</v>
      </c>
      <c r="B25" s="130">
        <f>cennik!G28</f>
        <v>0</v>
      </c>
      <c r="C25" s="144"/>
      <c r="D25" s="145"/>
      <c r="E25" s="146"/>
      <c r="F25" s="146"/>
      <c r="G25" s="146"/>
      <c r="H25" s="146"/>
    </row>
    <row r="26" spans="1:8" x14ac:dyDescent="0.25">
      <c r="A26" s="129" t="s">
        <v>14</v>
      </c>
      <c r="B26" s="130">
        <f>cennik!G29</f>
        <v>0</v>
      </c>
      <c r="C26" s="144"/>
      <c r="D26" s="145"/>
      <c r="E26" s="146"/>
      <c r="F26" s="146"/>
      <c r="G26" s="146"/>
      <c r="H26" s="146"/>
    </row>
    <row r="27" spans="1:8" x14ac:dyDescent="0.25">
      <c r="A27" s="129" t="s">
        <v>15</v>
      </c>
      <c r="B27" s="130">
        <f>cennik!G30</f>
        <v>0</v>
      </c>
      <c r="C27" s="144"/>
      <c r="D27" s="145"/>
      <c r="E27" s="146"/>
      <c r="F27" s="146"/>
      <c r="G27" s="146"/>
      <c r="H27" s="146"/>
    </row>
    <row r="28" spans="1:8" x14ac:dyDescent="0.25">
      <c r="A28" s="129" t="s">
        <v>16</v>
      </c>
      <c r="B28" s="130">
        <f>cennik!G31</f>
        <v>0</v>
      </c>
      <c r="C28" s="144"/>
      <c r="D28" s="145"/>
      <c r="E28" s="146"/>
      <c r="F28" s="146"/>
      <c r="G28" s="146"/>
      <c r="H28" s="146"/>
    </row>
    <row r="29" spans="1:8" x14ac:dyDescent="0.25">
      <c r="A29" s="129" t="s">
        <v>17</v>
      </c>
      <c r="B29" s="130">
        <f>cennik!G32</f>
        <v>0</v>
      </c>
      <c r="C29" s="144"/>
      <c r="D29" s="145"/>
      <c r="E29" s="146"/>
      <c r="F29" s="146"/>
      <c r="G29" s="146"/>
      <c r="H29" s="146"/>
    </row>
    <row r="30" spans="1:8" x14ac:dyDescent="0.25">
      <c r="A30" s="129" t="s">
        <v>18</v>
      </c>
      <c r="B30" s="130">
        <f>cennik!G33</f>
        <v>0</v>
      </c>
      <c r="C30" s="144"/>
      <c r="D30" s="145"/>
      <c r="E30" s="146"/>
      <c r="F30" s="146"/>
      <c r="G30" s="146"/>
      <c r="H30" s="146"/>
    </row>
    <row r="31" spans="1:8" x14ac:dyDescent="0.25">
      <c r="A31" s="129" t="s">
        <v>19</v>
      </c>
      <c r="B31" s="130">
        <f>cennik!G34</f>
        <v>0</v>
      </c>
      <c r="C31" s="144"/>
      <c r="D31" s="145"/>
      <c r="E31" s="146"/>
      <c r="F31" s="146"/>
      <c r="G31" s="146"/>
      <c r="H31" s="146"/>
    </row>
    <row r="32" spans="1:8" x14ac:dyDescent="0.25">
      <c r="A32" s="129" t="s">
        <v>20</v>
      </c>
      <c r="B32" s="130">
        <f>cennik!G35</f>
        <v>0</v>
      </c>
      <c r="C32" s="144"/>
      <c r="D32" s="145"/>
      <c r="E32" s="146"/>
      <c r="F32" s="146"/>
      <c r="G32" s="146"/>
      <c r="H32" s="146"/>
    </row>
    <row r="33" spans="1:8" x14ac:dyDescent="0.25">
      <c r="A33" s="129" t="s">
        <v>21</v>
      </c>
      <c r="B33" s="130">
        <f>cennik!G36</f>
        <v>0</v>
      </c>
      <c r="C33" s="144"/>
      <c r="D33" s="145"/>
      <c r="E33" s="146"/>
      <c r="F33" s="146"/>
      <c r="G33" s="146"/>
      <c r="H33" s="146"/>
    </row>
    <row r="34" spans="1:8" x14ac:dyDescent="0.25">
      <c r="A34" s="129" t="s">
        <v>22</v>
      </c>
      <c r="B34" s="130">
        <f>cennik!G37</f>
        <v>0</v>
      </c>
      <c r="C34" s="144"/>
      <c r="D34" s="145"/>
      <c r="E34" s="146"/>
      <c r="F34" s="146"/>
      <c r="G34" s="146"/>
      <c r="H34" s="146"/>
    </row>
    <row r="35" spans="1:8" x14ac:dyDescent="0.25">
      <c r="A35" s="129" t="s">
        <v>23</v>
      </c>
      <c r="B35" s="130">
        <f>cennik!G38</f>
        <v>0</v>
      </c>
      <c r="C35" s="144"/>
      <c r="D35" s="145"/>
      <c r="E35" s="146"/>
      <c r="F35" s="146"/>
      <c r="G35" s="146"/>
      <c r="H35" s="146"/>
    </row>
    <row r="36" spans="1:8" x14ac:dyDescent="0.25">
      <c r="A36" s="129" t="s">
        <v>24</v>
      </c>
      <c r="B36" s="130">
        <f>cennik!G39</f>
        <v>0</v>
      </c>
      <c r="C36" s="144"/>
      <c r="D36" s="145"/>
      <c r="E36" s="146"/>
      <c r="F36" s="146"/>
      <c r="G36" s="146"/>
      <c r="H36" s="146"/>
    </row>
    <row r="37" spans="1:8" x14ac:dyDescent="0.25">
      <c r="A37" s="129" t="s">
        <v>25</v>
      </c>
      <c r="B37" s="130">
        <f>cennik!G40</f>
        <v>0</v>
      </c>
      <c r="C37" s="144"/>
      <c r="D37" s="145"/>
      <c r="E37" s="146"/>
      <c r="F37" s="146"/>
      <c r="G37" s="146"/>
      <c r="H37" s="146"/>
    </row>
    <row r="38" spans="1:8" x14ac:dyDescent="0.25">
      <c r="A38" s="129" t="s">
        <v>26</v>
      </c>
      <c r="B38" s="130">
        <f>cennik!G41</f>
        <v>0</v>
      </c>
      <c r="C38" s="144"/>
      <c r="D38" s="145"/>
      <c r="E38" s="146"/>
      <c r="F38" s="146"/>
      <c r="G38" s="146"/>
      <c r="H38" s="146"/>
    </row>
    <row r="39" spans="1:8" x14ac:dyDescent="0.25">
      <c r="A39" s="129" t="s">
        <v>27</v>
      </c>
      <c r="B39" s="130">
        <f>cennik!G42</f>
        <v>0</v>
      </c>
      <c r="C39" s="144"/>
      <c r="D39" s="145"/>
      <c r="E39" s="146"/>
      <c r="F39" s="146"/>
      <c r="G39" s="146"/>
      <c r="H39" s="146"/>
    </row>
    <row r="40" spans="1:8" x14ac:dyDescent="0.25">
      <c r="A40" s="129" t="s">
        <v>28</v>
      </c>
      <c r="B40" s="130">
        <f>cennik!G43</f>
        <v>0</v>
      </c>
      <c r="C40" s="144"/>
      <c r="D40" s="145"/>
      <c r="E40" s="146"/>
      <c r="F40" s="146"/>
      <c r="G40" s="146"/>
      <c r="H40" s="146"/>
    </row>
    <row r="41" spans="1:8" x14ac:dyDescent="0.25">
      <c r="A41" s="129" t="s">
        <v>29</v>
      </c>
      <c r="B41" s="130">
        <f>cennik!G44</f>
        <v>0</v>
      </c>
      <c r="C41" s="144"/>
      <c r="D41" s="145"/>
      <c r="E41" s="146"/>
      <c r="F41" s="146"/>
      <c r="G41" s="146"/>
      <c r="H41" s="146"/>
    </row>
    <row r="42" spans="1:8" x14ac:dyDescent="0.25">
      <c r="A42" s="129" t="s">
        <v>30</v>
      </c>
      <c r="B42" s="130">
        <f>cennik!G45</f>
        <v>0</v>
      </c>
      <c r="C42" s="144"/>
      <c r="D42" s="145"/>
      <c r="E42" s="146"/>
      <c r="F42" s="146"/>
      <c r="G42" s="146"/>
      <c r="H42" s="146"/>
    </row>
    <row r="43" spans="1:8" x14ac:dyDescent="0.25">
      <c r="A43" s="129" t="s">
        <v>31</v>
      </c>
      <c r="B43" s="130">
        <f>cennik!G46</f>
        <v>0</v>
      </c>
      <c r="C43" s="144"/>
      <c r="D43" s="145"/>
      <c r="E43" s="146"/>
      <c r="F43" s="146"/>
      <c r="G43" s="146"/>
      <c r="H43" s="146"/>
    </row>
    <row r="44" spans="1:8" x14ac:dyDescent="0.25">
      <c r="A44" s="129" t="s">
        <v>32</v>
      </c>
      <c r="B44" s="130">
        <f>cennik!G47</f>
        <v>0</v>
      </c>
      <c r="C44" s="144"/>
      <c r="D44" s="145"/>
      <c r="E44" s="146"/>
      <c r="F44" s="146"/>
      <c r="G44" s="146"/>
      <c r="H44" s="146"/>
    </row>
    <row r="45" spans="1:8" x14ac:dyDescent="0.25">
      <c r="A45" s="129" t="s">
        <v>33</v>
      </c>
      <c r="B45" s="130">
        <f>cennik!G48</f>
        <v>0</v>
      </c>
      <c r="C45" s="144"/>
      <c r="D45" s="145"/>
      <c r="E45" s="146"/>
      <c r="F45" s="146"/>
      <c r="G45" s="146"/>
      <c r="H45" s="146"/>
    </row>
    <row r="46" spans="1:8" x14ac:dyDescent="0.25">
      <c r="A46" s="129" t="s">
        <v>34</v>
      </c>
      <c r="B46" s="130">
        <f>cennik!G49</f>
        <v>0</v>
      </c>
      <c r="C46" s="144"/>
      <c r="D46" s="145"/>
      <c r="E46" s="146"/>
      <c r="F46" s="146"/>
      <c r="G46" s="146"/>
      <c r="H46" s="146"/>
    </row>
    <row r="47" spans="1:8" x14ac:dyDescent="0.25">
      <c r="A47" s="129" t="s">
        <v>35</v>
      </c>
      <c r="B47" s="130">
        <f>cennik!G50</f>
        <v>0</v>
      </c>
      <c r="C47" s="144"/>
      <c r="D47" s="145"/>
      <c r="E47" s="146"/>
      <c r="F47" s="146"/>
      <c r="G47" s="146"/>
      <c r="H47" s="146"/>
    </row>
    <row r="48" spans="1:8" x14ac:dyDescent="0.25">
      <c r="A48" s="129" t="s">
        <v>36</v>
      </c>
      <c r="B48" s="130">
        <f>cennik!G51</f>
        <v>0</v>
      </c>
      <c r="C48" s="144"/>
      <c r="D48" s="145"/>
      <c r="E48" s="146"/>
      <c r="F48" s="146"/>
      <c r="G48" s="146"/>
      <c r="H48" s="146"/>
    </row>
    <row r="49" spans="1:8" x14ac:dyDescent="0.25">
      <c r="A49" s="129" t="s">
        <v>37</v>
      </c>
      <c r="B49" s="130">
        <f>cennik!G52</f>
        <v>0</v>
      </c>
      <c r="C49" s="144"/>
      <c r="D49" s="145"/>
      <c r="E49" s="146"/>
      <c r="F49" s="146"/>
      <c r="G49" s="146"/>
      <c r="H49" s="146"/>
    </row>
    <row r="50" spans="1:8" x14ac:dyDescent="0.25">
      <c r="A50" s="129" t="s">
        <v>38</v>
      </c>
      <c r="B50" s="130">
        <f>cennik!G53</f>
        <v>0</v>
      </c>
      <c r="C50" s="144"/>
      <c r="D50" s="145"/>
      <c r="E50" s="146"/>
      <c r="F50" s="146"/>
      <c r="G50" s="146"/>
      <c r="H50" s="146"/>
    </row>
    <row r="51" spans="1:8" x14ac:dyDescent="0.25">
      <c r="A51" s="129" t="s">
        <v>39</v>
      </c>
      <c r="B51" s="130">
        <f>cennik!G54</f>
        <v>0</v>
      </c>
      <c r="C51" s="144"/>
      <c r="D51" s="145"/>
      <c r="E51" s="146"/>
      <c r="F51" s="146"/>
      <c r="G51" s="146"/>
      <c r="H51" s="146"/>
    </row>
    <row r="52" spans="1:8" x14ac:dyDescent="0.25">
      <c r="A52" s="129" t="s">
        <v>40</v>
      </c>
      <c r="B52" s="130">
        <f>cennik!G55</f>
        <v>0</v>
      </c>
      <c r="C52" s="144"/>
      <c r="D52" s="145"/>
      <c r="E52" s="146"/>
      <c r="F52" s="146"/>
      <c r="G52" s="146"/>
      <c r="H52" s="146"/>
    </row>
    <row r="53" spans="1:8" x14ac:dyDescent="0.25">
      <c r="A53" s="129" t="s">
        <v>41</v>
      </c>
      <c r="B53" s="130">
        <f>cennik!G56</f>
        <v>0</v>
      </c>
      <c r="C53" s="144"/>
      <c r="D53" s="145"/>
      <c r="E53" s="146"/>
      <c r="F53" s="146"/>
      <c r="G53" s="146"/>
      <c r="H53" s="146"/>
    </row>
    <row r="54" spans="1:8" x14ac:dyDescent="0.25">
      <c r="A54" s="129" t="s">
        <v>42</v>
      </c>
      <c r="B54" s="130">
        <f>cennik!G57</f>
        <v>0</v>
      </c>
      <c r="C54" s="144"/>
      <c r="D54" s="145"/>
      <c r="E54" s="146"/>
      <c r="F54" s="146"/>
      <c r="G54" s="146"/>
      <c r="H54" s="146"/>
    </row>
    <row r="55" spans="1:8" x14ac:dyDescent="0.25">
      <c r="A55" s="129" t="s">
        <v>43</v>
      </c>
      <c r="B55" s="130">
        <f>cennik!G58</f>
        <v>0</v>
      </c>
      <c r="C55" s="144"/>
      <c r="D55" s="145"/>
      <c r="E55" s="146"/>
      <c r="F55" s="146"/>
      <c r="G55" s="146"/>
      <c r="H55" s="146"/>
    </row>
    <row r="56" spans="1:8" x14ac:dyDescent="0.25">
      <c r="A56" s="120" t="s">
        <v>296</v>
      </c>
      <c r="B56" s="130">
        <f>cennik!G59</f>
        <v>0</v>
      </c>
      <c r="C56" s="144"/>
      <c r="D56" s="145"/>
      <c r="E56" s="146"/>
      <c r="F56" s="146"/>
      <c r="G56" s="146"/>
      <c r="H56" s="146"/>
    </row>
    <row r="57" spans="1:8" x14ac:dyDescent="0.25">
      <c r="A57" s="120" t="s">
        <v>267</v>
      </c>
      <c r="B57" s="130">
        <f>cennik!G60</f>
        <v>0</v>
      </c>
      <c r="C57" s="144"/>
      <c r="D57" s="145"/>
      <c r="E57" s="146"/>
      <c r="F57" s="146"/>
      <c r="G57" s="146"/>
      <c r="H57" s="146"/>
    </row>
    <row r="58" spans="1:8" x14ac:dyDescent="0.25">
      <c r="A58" s="120" t="s">
        <v>268</v>
      </c>
      <c r="B58" s="130">
        <f>cennik!G61</f>
        <v>0</v>
      </c>
      <c r="C58" s="144"/>
      <c r="D58" s="145"/>
      <c r="E58" s="146"/>
      <c r="F58" s="146"/>
      <c r="G58" s="146"/>
      <c r="H58" s="146"/>
    </row>
    <row r="59" spans="1:8" x14ac:dyDescent="0.25">
      <c r="A59" s="120" t="s">
        <v>269</v>
      </c>
      <c r="B59" s="130">
        <f>cennik!G62</f>
        <v>0</v>
      </c>
      <c r="C59" s="144"/>
      <c r="D59" s="145"/>
      <c r="E59" s="146"/>
      <c r="F59" s="146"/>
      <c r="G59" s="146"/>
      <c r="H59" s="146"/>
    </row>
    <row r="60" spans="1:8" x14ac:dyDescent="0.25">
      <c r="A60" s="120" t="s">
        <v>270</v>
      </c>
      <c r="B60" s="130">
        <f>cennik!G63</f>
        <v>0</v>
      </c>
      <c r="C60" s="144"/>
      <c r="D60" s="145"/>
      <c r="E60" s="146"/>
      <c r="F60" s="146"/>
      <c r="G60" s="146"/>
      <c r="H60" s="146"/>
    </row>
    <row r="61" spans="1:8" x14ac:dyDescent="0.25">
      <c r="A61" s="120" t="s">
        <v>271</v>
      </c>
      <c r="B61" s="130">
        <f>cennik!G64</f>
        <v>0</v>
      </c>
      <c r="C61" s="144"/>
      <c r="D61" s="145"/>
      <c r="E61" s="146"/>
      <c r="F61" s="146"/>
      <c r="G61" s="146"/>
      <c r="H61" s="146"/>
    </row>
    <row r="62" spans="1:8" x14ac:dyDescent="0.25">
      <c r="A62" s="120" t="s">
        <v>272</v>
      </c>
      <c r="B62" s="130">
        <f>cennik!G65</f>
        <v>0</v>
      </c>
      <c r="C62" s="144"/>
      <c r="D62" s="145"/>
      <c r="E62" s="146"/>
      <c r="F62" s="146"/>
      <c r="G62" s="146"/>
      <c r="H62" s="146"/>
    </row>
    <row r="63" spans="1:8" x14ac:dyDescent="0.25">
      <c r="A63" s="120" t="s">
        <v>273</v>
      </c>
      <c r="B63" s="130">
        <f>cennik!G66</f>
        <v>0</v>
      </c>
      <c r="C63" s="144"/>
      <c r="D63" s="145"/>
      <c r="E63" s="146"/>
      <c r="F63" s="146"/>
      <c r="G63" s="146"/>
      <c r="H63" s="146"/>
    </row>
    <row r="64" spans="1:8" x14ac:dyDescent="0.25">
      <c r="A64" s="120" t="s">
        <v>274</v>
      </c>
      <c r="B64" s="130">
        <f>cennik!G67</f>
        <v>0</v>
      </c>
      <c r="C64" s="144"/>
      <c r="D64" s="145"/>
      <c r="E64" s="146"/>
      <c r="F64" s="146"/>
      <c r="G64" s="146"/>
      <c r="H64" s="146"/>
    </row>
    <row r="65" spans="1:8" x14ac:dyDescent="0.25">
      <c r="A65" s="120" t="s">
        <v>275</v>
      </c>
      <c r="B65" s="130">
        <f>cennik!G68</f>
        <v>0</v>
      </c>
      <c r="C65" s="144"/>
      <c r="D65" s="145"/>
      <c r="E65" s="146"/>
      <c r="F65" s="146"/>
      <c r="G65" s="146"/>
      <c r="H65" s="146"/>
    </row>
    <row r="66" spans="1:8" x14ac:dyDescent="0.25">
      <c r="A66" s="120" t="s">
        <v>276</v>
      </c>
      <c r="B66" s="130">
        <f>cennik!G69</f>
        <v>0</v>
      </c>
      <c r="C66" s="144"/>
      <c r="D66" s="145"/>
      <c r="E66" s="146"/>
      <c r="F66" s="146"/>
      <c r="G66" s="146"/>
      <c r="H66" s="146"/>
    </row>
    <row r="67" spans="1:8" x14ac:dyDescent="0.25">
      <c r="A67" s="120" t="s">
        <v>277</v>
      </c>
      <c r="B67" s="130">
        <f>cennik!G70</f>
        <v>0</v>
      </c>
      <c r="C67" s="144"/>
      <c r="D67" s="145"/>
      <c r="E67" s="146"/>
      <c r="F67" s="146"/>
      <c r="G67" s="146"/>
      <c r="H67" s="146"/>
    </row>
    <row r="68" spans="1:8" x14ac:dyDescent="0.25">
      <c r="A68" s="120" t="s">
        <v>278</v>
      </c>
      <c r="B68" s="130">
        <f>cennik!G71</f>
        <v>0</v>
      </c>
      <c r="C68" s="144"/>
      <c r="D68" s="145"/>
      <c r="E68" s="146"/>
      <c r="F68" s="146"/>
      <c r="G68" s="146"/>
      <c r="H68" s="146"/>
    </row>
    <row r="69" spans="1:8" x14ac:dyDescent="0.25">
      <c r="A69" s="120" t="s">
        <v>279</v>
      </c>
      <c r="B69" s="130">
        <f>cennik!G72</f>
        <v>0</v>
      </c>
      <c r="C69" s="144"/>
      <c r="D69" s="145"/>
      <c r="E69" s="146"/>
      <c r="F69" s="146"/>
      <c r="G69" s="146"/>
      <c r="H69" s="146"/>
    </row>
    <row r="70" spans="1:8" x14ac:dyDescent="0.25">
      <c r="A70" s="120" t="s">
        <v>280</v>
      </c>
      <c r="B70" s="130">
        <f>cennik!G73</f>
        <v>0</v>
      </c>
      <c r="C70" s="144"/>
      <c r="D70" s="145"/>
      <c r="E70" s="146"/>
      <c r="F70" s="146"/>
      <c r="G70" s="146"/>
      <c r="H70" s="146"/>
    </row>
    <row r="71" spans="1:8" x14ac:dyDescent="0.25">
      <c r="A71" s="120" t="s">
        <v>281</v>
      </c>
      <c r="B71" s="130">
        <f>cennik!G74</f>
        <v>0</v>
      </c>
      <c r="C71" s="144"/>
      <c r="D71" s="145"/>
      <c r="E71" s="146"/>
      <c r="F71" s="146"/>
      <c r="G71" s="146"/>
      <c r="H71" s="146"/>
    </row>
    <row r="72" spans="1:8" x14ac:dyDescent="0.25">
      <c r="A72" s="120" t="s">
        <v>282</v>
      </c>
      <c r="B72" s="130">
        <f>cennik!G75</f>
        <v>0</v>
      </c>
      <c r="C72" s="144"/>
      <c r="D72" s="145"/>
      <c r="E72" s="146"/>
      <c r="F72" s="146"/>
      <c r="G72" s="146"/>
      <c r="H72" s="146"/>
    </row>
    <row r="73" spans="1:8" x14ac:dyDescent="0.25">
      <c r="A73" s="120" t="s">
        <v>283</v>
      </c>
      <c r="B73" s="130">
        <f>cennik!G76</f>
        <v>0</v>
      </c>
      <c r="C73" s="144"/>
      <c r="D73" s="145"/>
      <c r="E73" s="146"/>
      <c r="F73" s="146"/>
      <c r="G73" s="146"/>
      <c r="H73" s="146"/>
    </row>
    <row r="74" spans="1:8" x14ac:dyDescent="0.25">
      <c r="A74" s="120" t="s">
        <v>284</v>
      </c>
      <c r="B74" s="130">
        <f>cennik!G77</f>
        <v>0</v>
      </c>
      <c r="C74" s="144"/>
      <c r="D74" s="145"/>
      <c r="E74" s="146"/>
      <c r="F74" s="146"/>
      <c r="G74" s="146"/>
      <c r="H74" s="146"/>
    </row>
    <row r="75" spans="1:8" x14ac:dyDescent="0.25">
      <c r="A75" s="120" t="s">
        <v>285</v>
      </c>
      <c r="B75" s="130">
        <f>cennik!G78</f>
        <v>0</v>
      </c>
      <c r="C75" s="144"/>
      <c r="D75" s="145"/>
      <c r="E75" s="146"/>
      <c r="F75" s="146"/>
      <c r="G75" s="146"/>
      <c r="H75" s="146"/>
    </row>
    <row r="76" spans="1:8" x14ac:dyDescent="0.25">
      <c r="A76" s="120" t="s">
        <v>286</v>
      </c>
      <c r="B76" s="130">
        <f>cennik!G79</f>
        <v>0</v>
      </c>
      <c r="C76" s="144"/>
      <c r="D76" s="145"/>
      <c r="E76" s="146"/>
      <c r="F76" s="146"/>
      <c r="G76" s="146"/>
      <c r="H76" s="146"/>
    </row>
    <row r="77" spans="1:8" x14ac:dyDescent="0.25">
      <c r="A77" s="120" t="s">
        <v>287</v>
      </c>
      <c r="B77" s="130">
        <f>cennik!G80</f>
        <v>0</v>
      </c>
      <c r="C77" s="144"/>
      <c r="D77" s="145"/>
      <c r="E77" s="146"/>
      <c r="F77" s="146"/>
      <c r="G77" s="146"/>
      <c r="H77" s="146"/>
    </row>
    <row r="78" spans="1:8" x14ac:dyDescent="0.25">
      <c r="A78" s="120" t="s">
        <v>288</v>
      </c>
      <c r="B78" s="130">
        <f>cennik!G81</f>
        <v>0</v>
      </c>
      <c r="C78" s="144"/>
      <c r="D78" s="145"/>
      <c r="E78" s="146"/>
      <c r="F78" s="146"/>
      <c r="G78" s="146"/>
      <c r="H78" s="146"/>
    </row>
    <row r="79" spans="1:8" x14ac:dyDescent="0.25">
      <c r="A79" s="120" t="s">
        <v>289</v>
      </c>
      <c r="B79" s="130">
        <f>cennik!G82</f>
        <v>0</v>
      </c>
      <c r="C79" s="144"/>
      <c r="D79" s="145"/>
      <c r="E79" s="146"/>
      <c r="F79" s="146"/>
      <c r="G79" s="146"/>
      <c r="H79" s="146"/>
    </row>
    <row r="80" spans="1:8" x14ac:dyDescent="0.25">
      <c r="A80" s="120" t="s">
        <v>290</v>
      </c>
      <c r="B80" s="130">
        <f>cennik!G83</f>
        <v>0</v>
      </c>
      <c r="C80" s="144"/>
      <c r="D80" s="145"/>
      <c r="E80" s="146"/>
      <c r="F80" s="146"/>
      <c r="G80" s="146"/>
      <c r="H80" s="146"/>
    </row>
    <row r="81" spans="1:8" x14ac:dyDescent="0.25">
      <c r="A81" s="120" t="s">
        <v>291</v>
      </c>
      <c r="B81" s="130">
        <f>cennik!G84</f>
        <v>0</v>
      </c>
      <c r="C81" s="144"/>
      <c r="D81" s="145"/>
      <c r="E81" s="146"/>
      <c r="F81" s="146"/>
      <c r="G81" s="146"/>
      <c r="H81" s="146"/>
    </row>
    <row r="82" spans="1:8" x14ac:dyDescent="0.25">
      <c r="A82" s="120" t="s">
        <v>292</v>
      </c>
      <c r="B82" s="130">
        <f>cennik!G85</f>
        <v>0</v>
      </c>
      <c r="C82" s="144"/>
      <c r="D82" s="145"/>
      <c r="E82" s="146"/>
      <c r="F82" s="146"/>
      <c r="G82" s="146"/>
      <c r="H82" s="146"/>
    </row>
    <row r="83" spans="1:8" x14ac:dyDescent="0.25">
      <c r="A83" s="120" t="s">
        <v>293</v>
      </c>
      <c r="B83" s="130">
        <f>cennik!G86</f>
        <v>0</v>
      </c>
      <c r="C83" s="144"/>
      <c r="D83" s="145"/>
      <c r="E83" s="146"/>
      <c r="F83" s="146"/>
      <c r="G83" s="146"/>
      <c r="H83" s="146"/>
    </row>
    <row r="84" spans="1:8" x14ac:dyDescent="0.25">
      <c r="A84" s="120" t="s">
        <v>294</v>
      </c>
      <c r="B84" s="130">
        <f>cennik!G87</f>
        <v>0</v>
      </c>
      <c r="C84" s="144"/>
      <c r="D84" s="145"/>
      <c r="E84" s="146"/>
      <c r="F84" s="146"/>
      <c r="G84" s="146"/>
      <c r="H84" s="146"/>
    </row>
    <row r="85" spans="1:8" x14ac:dyDescent="0.25">
      <c r="A85" s="120" t="s">
        <v>295</v>
      </c>
      <c r="B85" s="130">
        <f>cennik!G88</f>
        <v>0</v>
      </c>
      <c r="C85" s="144"/>
      <c r="D85" s="145"/>
      <c r="E85" s="146"/>
      <c r="F85" s="146"/>
      <c r="G85" s="146"/>
      <c r="H85" s="146"/>
    </row>
    <row r="86" spans="1:8" x14ac:dyDescent="0.25">
      <c r="A86" s="120" t="s">
        <v>297</v>
      </c>
      <c r="B86" s="130">
        <f>cennik!G89</f>
        <v>0</v>
      </c>
      <c r="C86" s="144"/>
      <c r="D86" s="145"/>
      <c r="E86" s="146"/>
      <c r="F86" s="146"/>
      <c r="G86" s="146"/>
      <c r="H86" s="146"/>
    </row>
    <row r="87" spans="1:8" x14ac:dyDescent="0.25">
      <c r="A87" s="137" t="s">
        <v>315</v>
      </c>
      <c r="B87" s="130">
        <f>cennik!G90</f>
        <v>0</v>
      </c>
      <c r="C87" s="144"/>
      <c r="D87" s="145"/>
      <c r="E87" s="146"/>
      <c r="F87" s="146"/>
      <c r="G87" s="146"/>
      <c r="H87" s="146"/>
    </row>
    <row r="88" spans="1:8" x14ac:dyDescent="0.25">
      <c r="A88" s="137" t="s">
        <v>316</v>
      </c>
      <c r="B88" s="130">
        <f>cennik!G91</f>
        <v>0</v>
      </c>
      <c r="C88" s="144"/>
      <c r="D88" s="145"/>
      <c r="E88" s="146"/>
      <c r="F88" s="146"/>
      <c r="G88" s="146"/>
      <c r="H88" s="146"/>
    </row>
    <row r="89" spans="1:8" x14ac:dyDescent="0.25">
      <c r="A89" s="137" t="s">
        <v>317</v>
      </c>
      <c r="B89" s="130">
        <f>cennik!G92</f>
        <v>0</v>
      </c>
      <c r="C89" s="144"/>
      <c r="D89" s="145"/>
      <c r="E89" s="146"/>
      <c r="F89" s="146"/>
      <c r="G89" s="146"/>
      <c r="H89" s="146"/>
    </row>
    <row r="90" spans="1:8" x14ac:dyDescent="0.25">
      <c r="A90" s="137" t="s">
        <v>318</v>
      </c>
      <c r="B90" s="130">
        <f>cennik!G93</f>
        <v>0</v>
      </c>
      <c r="C90" s="144"/>
      <c r="D90" s="145"/>
      <c r="E90" s="146"/>
      <c r="F90" s="146"/>
      <c r="G90" s="146"/>
      <c r="H90" s="146"/>
    </row>
    <row r="91" spans="1:8" x14ac:dyDescent="0.25">
      <c r="A91" s="137" t="s">
        <v>319</v>
      </c>
      <c r="B91" s="130">
        <f>cennik!G94</f>
        <v>0</v>
      </c>
      <c r="C91" s="144"/>
      <c r="D91" s="145"/>
      <c r="E91" s="146"/>
      <c r="F91" s="146"/>
      <c r="G91" s="146"/>
      <c r="H91" s="146"/>
    </row>
    <row r="92" spans="1:8" x14ac:dyDescent="0.25">
      <c r="A92" s="137" t="s">
        <v>320</v>
      </c>
      <c r="B92" s="130">
        <f>cennik!G95</f>
        <v>0</v>
      </c>
      <c r="C92" s="144"/>
      <c r="D92" s="145"/>
      <c r="E92" s="146"/>
      <c r="F92" s="146"/>
      <c r="G92" s="146"/>
      <c r="H92" s="146"/>
    </row>
    <row r="93" spans="1:8" x14ac:dyDescent="0.25">
      <c r="A93" s="137" t="s">
        <v>321</v>
      </c>
      <c r="B93" s="130">
        <f>cennik!G96</f>
        <v>0</v>
      </c>
      <c r="C93" s="144"/>
      <c r="D93" s="145"/>
      <c r="E93" s="146"/>
      <c r="F93" s="146"/>
      <c r="G93" s="146"/>
      <c r="H93" s="146"/>
    </row>
    <row r="94" spans="1:8" x14ac:dyDescent="0.25">
      <c r="A94" s="137" t="s">
        <v>322</v>
      </c>
      <c r="B94" s="130">
        <f>cennik!G97</f>
        <v>0</v>
      </c>
      <c r="C94" s="144"/>
      <c r="D94" s="145"/>
      <c r="E94" s="146"/>
      <c r="F94" s="146"/>
      <c r="G94" s="146"/>
      <c r="H94" s="146"/>
    </row>
    <row r="95" spans="1:8" x14ac:dyDescent="0.25">
      <c r="A95" s="137" t="s">
        <v>323</v>
      </c>
      <c r="B95" s="130">
        <f>cennik!G98</f>
        <v>0</v>
      </c>
      <c r="C95" s="144"/>
      <c r="D95" s="145"/>
      <c r="E95" s="146"/>
      <c r="F95" s="146"/>
      <c r="G95" s="146"/>
      <c r="H95" s="146"/>
    </row>
    <row r="96" spans="1:8" x14ac:dyDescent="0.25">
      <c r="A96" s="137" t="s">
        <v>324</v>
      </c>
      <c r="B96" s="130">
        <f>cennik!G99</f>
        <v>0</v>
      </c>
      <c r="C96" s="144"/>
      <c r="D96" s="145"/>
      <c r="E96" s="146"/>
      <c r="F96" s="146"/>
      <c r="G96" s="146"/>
      <c r="H96" s="146"/>
    </row>
    <row r="97" spans="1:8" x14ac:dyDescent="0.25">
      <c r="A97" s="137" t="s">
        <v>325</v>
      </c>
      <c r="B97" s="130">
        <f>cennik!G100</f>
        <v>0</v>
      </c>
      <c r="C97" s="144"/>
      <c r="D97" s="145"/>
      <c r="E97" s="146"/>
      <c r="F97" s="146"/>
      <c r="G97" s="146"/>
      <c r="H97" s="146"/>
    </row>
    <row r="98" spans="1:8" x14ac:dyDescent="0.25">
      <c r="A98" s="137" t="s">
        <v>326</v>
      </c>
      <c r="B98" s="130">
        <f>cennik!G101</f>
        <v>0</v>
      </c>
      <c r="C98" s="144"/>
      <c r="D98" s="145"/>
      <c r="E98" s="146"/>
      <c r="F98" s="146"/>
      <c r="G98" s="146"/>
      <c r="H98" s="146"/>
    </row>
    <row r="99" spans="1:8" x14ac:dyDescent="0.25">
      <c r="A99" s="137" t="s">
        <v>327</v>
      </c>
      <c r="B99" s="130">
        <f>cennik!G102</f>
        <v>0</v>
      </c>
      <c r="C99" s="144"/>
      <c r="D99" s="145"/>
      <c r="E99" s="146"/>
      <c r="F99" s="146"/>
      <c r="G99" s="146"/>
      <c r="H99" s="146"/>
    </row>
    <row r="100" spans="1:8" x14ac:dyDescent="0.25">
      <c r="A100" s="137" t="s">
        <v>328</v>
      </c>
      <c r="B100" s="130">
        <f>cennik!G103</f>
        <v>0</v>
      </c>
      <c r="C100" s="144"/>
      <c r="D100" s="145"/>
      <c r="E100" s="146"/>
      <c r="F100" s="146"/>
      <c r="G100" s="146"/>
      <c r="H100" s="146"/>
    </row>
    <row r="101" spans="1:8" x14ac:dyDescent="0.25">
      <c r="A101" s="137" t="s">
        <v>329</v>
      </c>
      <c r="B101" s="130">
        <f>cennik!G104</f>
        <v>0</v>
      </c>
      <c r="C101" s="144"/>
      <c r="D101" s="145"/>
      <c r="E101" s="146"/>
      <c r="F101" s="146"/>
      <c r="G101" s="146"/>
      <c r="H101" s="146"/>
    </row>
    <row r="102" spans="1:8" x14ac:dyDescent="0.25">
      <c r="A102" s="137" t="s">
        <v>330</v>
      </c>
      <c r="B102" s="130">
        <f>cennik!G105</f>
        <v>0</v>
      </c>
      <c r="C102" s="144"/>
      <c r="D102" s="145"/>
      <c r="E102" s="146"/>
      <c r="F102" s="146"/>
      <c r="G102" s="146"/>
      <c r="H102" s="146"/>
    </row>
    <row r="103" spans="1:8" x14ac:dyDescent="0.25">
      <c r="A103" s="137" t="s">
        <v>331</v>
      </c>
      <c r="B103" s="130">
        <f>cennik!G106</f>
        <v>0</v>
      </c>
      <c r="C103" s="144"/>
      <c r="D103" s="145"/>
      <c r="E103" s="146"/>
      <c r="F103" s="146"/>
      <c r="G103" s="146"/>
      <c r="H103" s="146"/>
    </row>
    <row r="104" spans="1:8" x14ac:dyDescent="0.25">
      <c r="A104" s="137" t="s">
        <v>332</v>
      </c>
      <c r="B104" s="130">
        <f>cennik!G107</f>
        <v>0</v>
      </c>
      <c r="C104" s="144"/>
      <c r="D104" s="145"/>
      <c r="E104" s="146"/>
      <c r="F104" s="146"/>
      <c r="G104" s="146"/>
      <c r="H104" s="146"/>
    </row>
    <row r="105" spans="1:8" x14ac:dyDescent="0.25">
      <c r="A105" s="137" t="s">
        <v>333</v>
      </c>
      <c r="B105" s="130">
        <f>cennik!G108</f>
        <v>0</v>
      </c>
      <c r="C105" s="144"/>
      <c r="D105" s="145"/>
      <c r="E105" s="146"/>
      <c r="F105" s="146"/>
      <c r="G105" s="146"/>
      <c r="H105" s="146"/>
    </row>
    <row r="106" spans="1:8" x14ac:dyDescent="0.25">
      <c r="A106" s="137" t="s">
        <v>334</v>
      </c>
      <c r="B106" s="130">
        <f>cennik!G109</f>
        <v>0</v>
      </c>
      <c r="C106" s="144"/>
      <c r="D106" s="145"/>
      <c r="E106" s="146"/>
      <c r="F106" s="146"/>
      <c r="G106" s="146"/>
      <c r="H106" s="146"/>
    </row>
    <row r="107" spans="1:8" x14ac:dyDescent="0.25">
      <c r="A107" s="137" t="s">
        <v>335</v>
      </c>
      <c r="B107" s="130">
        <f>cennik!G110</f>
        <v>0</v>
      </c>
      <c r="C107" s="144"/>
      <c r="D107" s="145"/>
      <c r="E107" s="146"/>
      <c r="F107" s="146"/>
      <c r="G107" s="146"/>
      <c r="H107" s="146"/>
    </row>
    <row r="108" spans="1:8" x14ac:dyDescent="0.25">
      <c r="A108" s="137" t="s">
        <v>336</v>
      </c>
      <c r="B108" s="130">
        <f>cennik!G111</f>
        <v>0</v>
      </c>
      <c r="C108" s="144"/>
      <c r="D108" s="145"/>
      <c r="E108" s="146"/>
      <c r="F108" s="146"/>
      <c r="G108" s="146"/>
      <c r="H108" s="146"/>
    </row>
    <row r="109" spans="1:8" x14ac:dyDescent="0.25">
      <c r="A109" s="137" t="s">
        <v>337</v>
      </c>
      <c r="B109" s="130">
        <f>cennik!G112</f>
        <v>0</v>
      </c>
      <c r="C109" s="144"/>
      <c r="D109" s="145"/>
      <c r="E109" s="146"/>
      <c r="F109" s="146"/>
      <c r="G109" s="146"/>
      <c r="H109" s="146"/>
    </row>
    <row r="110" spans="1:8" x14ac:dyDescent="0.25">
      <c r="A110" s="137" t="s">
        <v>338</v>
      </c>
      <c r="B110" s="130">
        <f>cennik!G113</f>
        <v>0</v>
      </c>
      <c r="C110" s="144"/>
      <c r="D110" s="145"/>
      <c r="E110" s="146"/>
      <c r="F110" s="146"/>
      <c r="G110" s="146"/>
      <c r="H110" s="146"/>
    </row>
    <row r="111" spans="1:8" x14ac:dyDescent="0.25">
      <c r="A111" s="137" t="s">
        <v>339</v>
      </c>
      <c r="B111" s="130">
        <f>cennik!G114</f>
        <v>0</v>
      </c>
      <c r="C111" s="144"/>
      <c r="D111" s="145"/>
      <c r="E111" s="146"/>
      <c r="F111" s="146"/>
      <c r="G111" s="146"/>
      <c r="H111" s="146"/>
    </row>
    <row r="112" spans="1:8" x14ac:dyDescent="0.25">
      <c r="A112" s="137" t="s">
        <v>340</v>
      </c>
      <c r="B112" s="130">
        <f>cennik!G115</f>
        <v>0</v>
      </c>
      <c r="C112" s="144"/>
      <c r="D112" s="145"/>
      <c r="E112" s="146"/>
      <c r="F112" s="146"/>
      <c r="G112" s="146"/>
      <c r="H112" s="146"/>
    </row>
    <row r="113" spans="1:8" x14ac:dyDescent="0.25">
      <c r="A113" s="137" t="s">
        <v>341</v>
      </c>
      <c r="B113" s="130">
        <f>cennik!G116</f>
        <v>0</v>
      </c>
      <c r="C113" s="144"/>
      <c r="D113" s="145"/>
      <c r="E113" s="146"/>
      <c r="F113" s="146"/>
      <c r="G113" s="146"/>
      <c r="H113" s="146"/>
    </row>
    <row r="114" spans="1:8" x14ac:dyDescent="0.25">
      <c r="A114" s="133" t="s">
        <v>44</v>
      </c>
      <c r="B114" s="130">
        <f>cennik!G117</f>
        <v>0</v>
      </c>
      <c r="C114" s="144"/>
      <c r="D114" s="145"/>
      <c r="E114" s="146"/>
      <c r="F114" s="146"/>
      <c r="G114" s="146"/>
      <c r="H114" s="146"/>
    </row>
    <row r="115" spans="1:8" x14ac:dyDescent="0.25">
      <c r="A115" s="133" t="s">
        <v>45</v>
      </c>
      <c r="B115" s="130">
        <f>cennik!G118</f>
        <v>0</v>
      </c>
      <c r="C115" s="144"/>
      <c r="D115" s="145"/>
      <c r="E115" s="146"/>
      <c r="F115" s="146"/>
      <c r="G115" s="146"/>
      <c r="H115" s="146"/>
    </row>
    <row r="116" spans="1:8" x14ac:dyDescent="0.25">
      <c r="A116" s="133" t="s">
        <v>46</v>
      </c>
      <c r="B116" s="130">
        <f>cennik!G119</f>
        <v>0</v>
      </c>
      <c r="C116" s="144"/>
      <c r="D116" s="145"/>
      <c r="E116" s="146"/>
      <c r="F116" s="146"/>
      <c r="G116" s="146"/>
      <c r="H116" s="146"/>
    </row>
    <row r="117" spans="1:8" x14ac:dyDescent="0.25">
      <c r="A117" s="133" t="s">
        <v>47</v>
      </c>
      <c r="B117" s="130">
        <f>cennik!G120</f>
        <v>0</v>
      </c>
      <c r="C117" s="144"/>
      <c r="D117" s="145"/>
      <c r="E117" s="146"/>
      <c r="F117" s="146"/>
      <c r="G117" s="146"/>
      <c r="H117" s="146"/>
    </row>
    <row r="118" spans="1:8" x14ac:dyDescent="0.25">
      <c r="A118" s="133" t="s">
        <v>48</v>
      </c>
      <c r="B118" s="130">
        <f>cennik!G121</f>
        <v>0</v>
      </c>
      <c r="C118" s="144"/>
      <c r="D118" s="145"/>
      <c r="E118" s="146"/>
      <c r="F118" s="146"/>
      <c r="G118" s="146"/>
      <c r="H118" s="146"/>
    </row>
    <row r="119" spans="1:8" x14ac:dyDescent="0.25">
      <c r="A119" s="133" t="s">
        <v>49</v>
      </c>
      <c r="B119" s="130">
        <f>cennik!G122</f>
        <v>0</v>
      </c>
      <c r="C119" s="144"/>
      <c r="D119" s="145"/>
      <c r="E119" s="146"/>
      <c r="F119" s="146"/>
      <c r="G119" s="146"/>
      <c r="H119" s="146"/>
    </row>
    <row r="120" spans="1:8" x14ac:dyDescent="0.25">
      <c r="A120" s="133" t="s">
        <v>50</v>
      </c>
      <c r="B120" s="130">
        <f>cennik!G123</f>
        <v>0</v>
      </c>
      <c r="C120" s="144"/>
      <c r="D120" s="145"/>
      <c r="E120" s="146"/>
      <c r="F120" s="146"/>
      <c r="G120" s="146"/>
      <c r="H120" s="146"/>
    </row>
    <row r="121" spans="1:8" x14ac:dyDescent="0.25">
      <c r="A121" s="133" t="s">
        <v>51</v>
      </c>
      <c r="B121" s="130">
        <f>cennik!G124</f>
        <v>0</v>
      </c>
      <c r="C121" s="144"/>
      <c r="D121" s="145"/>
      <c r="E121" s="146"/>
      <c r="F121" s="146"/>
      <c r="G121" s="146"/>
      <c r="H121" s="146"/>
    </row>
    <row r="122" spans="1:8" x14ac:dyDescent="0.25">
      <c r="A122" s="133" t="s">
        <v>52</v>
      </c>
      <c r="B122" s="130">
        <f>cennik!G125</f>
        <v>0</v>
      </c>
      <c r="C122" s="144"/>
      <c r="D122" s="145"/>
      <c r="E122" s="146"/>
      <c r="F122" s="146"/>
      <c r="G122" s="146"/>
      <c r="H122" s="146"/>
    </row>
    <row r="123" spans="1:8" x14ac:dyDescent="0.25">
      <c r="A123" s="133" t="s">
        <v>53</v>
      </c>
      <c r="B123" s="130">
        <f>cennik!G126</f>
        <v>0</v>
      </c>
      <c r="C123" s="144"/>
      <c r="D123" s="145"/>
      <c r="E123" s="146"/>
      <c r="F123" s="146"/>
      <c r="G123" s="146"/>
      <c r="H123" s="146"/>
    </row>
    <row r="124" spans="1:8" x14ac:dyDescent="0.25">
      <c r="A124" s="133" t="s">
        <v>54</v>
      </c>
      <c r="B124" s="130">
        <f>cennik!G127</f>
        <v>0</v>
      </c>
      <c r="C124" s="144"/>
      <c r="D124" s="145"/>
      <c r="E124" s="146"/>
      <c r="F124" s="146"/>
      <c r="G124" s="146"/>
      <c r="H124" s="146"/>
    </row>
    <row r="125" spans="1:8" x14ac:dyDescent="0.25">
      <c r="A125" s="133" t="s">
        <v>55</v>
      </c>
      <c r="B125" s="130">
        <f>cennik!G128</f>
        <v>0</v>
      </c>
      <c r="C125" s="144"/>
      <c r="D125" s="145"/>
      <c r="E125" s="146"/>
      <c r="F125" s="146"/>
      <c r="G125" s="146"/>
      <c r="H125" s="146"/>
    </row>
    <row r="126" spans="1:8" x14ac:dyDescent="0.25">
      <c r="A126" s="133" t="s">
        <v>56</v>
      </c>
      <c r="B126" s="130">
        <f>cennik!G129</f>
        <v>0</v>
      </c>
      <c r="C126" s="144"/>
      <c r="D126" s="145"/>
      <c r="E126" s="146"/>
      <c r="F126" s="146"/>
      <c r="G126" s="146"/>
      <c r="H126" s="146"/>
    </row>
    <row r="127" spans="1:8" x14ac:dyDescent="0.25">
      <c r="A127" s="133" t="s">
        <v>57</v>
      </c>
      <c r="B127" s="130">
        <f>cennik!G130</f>
        <v>0</v>
      </c>
      <c r="C127" s="144"/>
      <c r="D127" s="145"/>
      <c r="E127" s="146"/>
      <c r="F127" s="146"/>
      <c r="G127" s="146"/>
      <c r="H127" s="146"/>
    </row>
    <row r="128" spans="1:8" x14ac:dyDescent="0.25">
      <c r="A128" s="133" t="s">
        <v>58</v>
      </c>
      <c r="B128" s="130">
        <f>cennik!G131</f>
        <v>0</v>
      </c>
      <c r="C128" s="144"/>
      <c r="D128" s="145"/>
      <c r="E128" s="146"/>
      <c r="F128" s="146"/>
      <c r="G128" s="146"/>
      <c r="H128" s="146"/>
    </row>
    <row r="129" spans="1:8" x14ac:dyDescent="0.25">
      <c r="A129" s="133" t="s">
        <v>59</v>
      </c>
      <c r="B129" s="130">
        <f>cennik!G132</f>
        <v>0</v>
      </c>
      <c r="C129" s="144"/>
      <c r="D129" s="145"/>
      <c r="E129" s="146"/>
      <c r="F129" s="146"/>
      <c r="G129" s="146"/>
      <c r="H129" s="146"/>
    </row>
    <row r="130" spans="1:8" x14ac:dyDescent="0.25">
      <c r="A130" s="133" t="s">
        <v>60</v>
      </c>
      <c r="B130" s="130">
        <f>cennik!G133</f>
        <v>0</v>
      </c>
      <c r="C130" s="144"/>
      <c r="D130" s="145"/>
      <c r="E130" s="146"/>
      <c r="F130" s="146"/>
      <c r="G130" s="146"/>
      <c r="H130" s="146"/>
    </row>
    <row r="131" spans="1:8" x14ac:dyDescent="0.25">
      <c r="A131" s="133" t="s">
        <v>61</v>
      </c>
      <c r="B131" s="130">
        <f>cennik!G134</f>
        <v>0</v>
      </c>
      <c r="C131" s="144"/>
      <c r="D131" s="145"/>
      <c r="E131" s="146"/>
      <c r="F131" s="146"/>
      <c r="G131" s="146"/>
      <c r="H131" s="146"/>
    </row>
    <row r="132" spans="1:8" x14ac:dyDescent="0.25">
      <c r="A132" s="119" t="s">
        <v>373</v>
      </c>
      <c r="B132" s="130">
        <f>cennik!G135</f>
        <v>0</v>
      </c>
      <c r="C132" s="144"/>
      <c r="D132" s="145"/>
      <c r="E132" s="146"/>
      <c r="F132" s="146"/>
      <c r="G132" s="146"/>
      <c r="H132" s="146"/>
    </row>
    <row r="133" spans="1:8" x14ac:dyDescent="0.25">
      <c r="A133" s="115" t="s">
        <v>62</v>
      </c>
      <c r="B133" s="130">
        <f>cennik!G136</f>
        <v>0</v>
      </c>
      <c r="C133" s="144"/>
      <c r="D133" s="145"/>
      <c r="E133" s="146"/>
      <c r="F133" s="146"/>
      <c r="G133" s="146"/>
      <c r="H133" s="146"/>
    </row>
    <row r="134" spans="1:8" x14ac:dyDescent="0.25">
      <c r="A134" s="115" t="s">
        <v>63</v>
      </c>
      <c r="B134" s="130">
        <f>cennik!G137</f>
        <v>0</v>
      </c>
      <c r="C134" s="144"/>
      <c r="D134" s="145"/>
      <c r="E134" s="146"/>
      <c r="F134" s="146"/>
      <c r="G134" s="146"/>
      <c r="H134" s="146"/>
    </row>
    <row r="135" spans="1:8" x14ac:dyDescent="0.25">
      <c r="A135" s="115" t="s">
        <v>64</v>
      </c>
      <c r="B135" s="130">
        <f>cennik!G138</f>
        <v>0</v>
      </c>
      <c r="C135" s="144"/>
      <c r="D135" s="145"/>
      <c r="E135" s="146"/>
      <c r="F135" s="146"/>
      <c r="G135" s="146"/>
      <c r="H135" s="146"/>
    </row>
    <row r="136" spans="1:8" x14ac:dyDescent="0.25">
      <c r="A136" s="115" t="s">
        <v>65</v>
      </c>
      <c r="B136" s="130">
        <f>cennik!G139</f>
        <v>0</v>
      </c>
      <c r="C136" s="144"/>
      <c r="D136" s="145"/>
      <c r="E136" s="146"/>
      <c r="F136" s="146"/>
      <c r="G136" s="146"/>
      <c r="H136" s="146"/>
    </row>
    <row r="137" spans="1:8" x14ac:dyDescent="0.25">
      <c r="A137" s="115" t="s">
        <v>374</v>
      </c>
      <c r="B137" s="130">
        <f>cennik!G140</f>
        <v>0</v>
      </c>
      <c r="C137" s="144"/>
      <c r="D137" s="145"/>
      <c r="E137" s="146"/>
      <c r="F137" s="146"/>
      <c r="G137" s="146"/>
      <c r="H137" s="146"/>
    </row>
    <row r="138" spans="1:8" x14ac:dyDescent="0.25">
      <c r="A138" s="115" t="s">
        <v>350</v>
      </c>
      <c r="B138" s="130">
        <f>cennik!G141</f>
        <v>0</v>
      </c>
      <c r="C138" s="144"/>
      <c r="D138" s="145"/>
      <c r="E138" s="146"/>
      <c r="F138" s="146"/>
      <c r="G138" s="146"/>
      <c r="H138" s="146"/>
    </row>
    <row r="139" spans="1:8" x14ac:dyDescent="0.25">
      <c r="A139" s="132" t="s">
        <v>66</v>
      </c>
      <c r="B139" s="130">
        <f>cennik!G142</f>
        <v>0</v>
      </c>
      <c r="C139" s="144"/>
      <c r="D139" s="145"/>
      <c r="E139" s="146"/>
      <c r="F139" s="146"/>
      <c r="G139" s="146"/>
      <c r="H139" s="146"/>
    </row>
    <row r="140" spans="1:8" x14ac:dyDescent="0.25">
      <c r="A140" s="115" t="s">
        <v>375</v>
      </c>
      <c r="B140" s="130">
        <f>cennik!G143</f>
        <v>0</v>
      </c>
      <c r="C140" s="144"/>
      <c r="D140" s="145"/>
      <c r="E140" s="146"/>
      <c r="F140" s="146"/>
      <c r="G140" s="146"/>
      <c r="H140" s="146"/>
    </row>
    <row r="141" spans="1:8" x14ac:dyDescent="0.25">
      <c r="A141" s="115" t="s">
        <v>67</v>
      </c>
      <c r="B141" s="130">
        <f>cennik!G144</f>
        <v>0</v>
      </c>
      <c r="C141" s="144"/>
      <c r="D141" s="145"/>
      <c r="E141" s="146"/>
      <c r="F141" s="146"/>
      <c r="G141" s="146"/>
      <c r="H141" s="146"/>
    </row>
    <row r="142" spans="1:8" x14ac:dyDescent="0.25">
      <c r="A142" s="115" t="s">
        <v>68</v>
      </c>
      <c r="B142" s="130">
        <f>cennik!G145</f>
        <v>0</v>
      </c>
      <c r="C142" s="144"/>
      <c r="D142" s="145"/>
      <c r="E142" s="146"/>
      <c r="F142" s="146"/>
      <c r="G142" s="146"/>
      <c r="H142" s="146"/>
    </row>
    <row r="143" spans="1:8" x14ac:dyDescent="0.25">
      <c r="A143" s="115" t="s">
        <v>69</v>
      </c>
      <c r="B143" s="130">
        <f>cennik!G146</f>
        <v>0</v>
      </c>
      <c r="C143" s="144"/>
      <c r="D143" s="145"/>
      <c r="E143" s="146"/>
      <c r="F143" s="146"/>
      <c r="G143" s="146"/>
      <c r="H143" s="146"/>
    </row>
    <row r="144" spans="1:8" x14ac:dyDescent="0.25">
      <c r="A144" s="115" t="s">
        <v>70</v>
      </c>
      <c r="B144" s="130">
        <f>cennik!G147</f>
        <v>0</v>
      </c>
      <c r="C144" s="144"/>
      <c r="D144" s="145"/>
      <c r="E144" s="146"/>
      <c r="F144" s="146"/>
      <c r="G144" s="146"/>
      <c r="H144" s="146"/>
    </row>
    <row r="145" spans="1:8" x14ac:dyDescent="0.25">
      <c r="A145" s="115" t="s">
        <v>71</v>
      </c>
      <c r="B145" s="130">
        <f>cennik!G148</f>
        <v>0</v>
      </c>
      <c r="C145" s="144"/>
      <c r="D145" s="145"/>
      <c r="E145" s="146"/>
      <c r="F145" s="146"/>
      <c r="G145" s="146"/>
      <c r="H145" s="146"/>
    </row>
    <row r="146" spans="1:8" x14ac:dyDescent="0.25">
      <c r="A146" s="115" t="s">
        <v>72</v>
      </c>
      <c r="B146" s="130">
        <f>cennik!G149</f>
        <v>0</v>
      </c>
      <c r="C146" s="144"/>
      <c r="D146" s="145"/>
      <c r="E146" s="146"/>
      <c r="F146" s="146"/>
      <c r="G146" s="146"/>
      <c r="H146" s="146"/>
    </row>
    <row r="147" spans="1:8" x14ac:dyDescent="0.25">
      <c r="A147" s="115" t="s">
        <v>73</v>
      </c>
      <c r="B147" s="130">
        <f>cennik!G150</f>
        <v>0</v>
      </c>
      <c r="C147" s="144"/>
      <c r="D147" s="145"/>
      <c r="E147" s="146"/>
      <c r="F147" s="146"/>
      <c r="G147" s="146"/>
      <c r="H147" s="146"/>
    </row>
    <row r="148" spans="1:8" x14ac:dyDescent="0.25">
      <c r="A148" s="115" t="s">
        <v>351</v>
      </c>
      <c r="B148" s="130">
        <f>cennik!G151</f>
        <v>0</v>
      </c>
      <c r="C148" s="144"/>
      <c r="D148" s="145"/>
      <c r="E148" s="146"/>
      <c r="F148" s="146"/>
      <c r="G148" s="146"/>
      <c r="H148" s="146"/>
    </row>
    <row r="149" spans="1:8" x14ac:dyDescent="0.25">
      <c r="A149" s="115" t="s">
        <v>352</v>
      </c>
      <c r="B149" s="130">
        <f>cennik!G152</f>
        <v>0</v>
      </c>
      <c r="C149" s="144"/>
      <c r="D149" s="145"/>
      <c r="E149" s="146"/>
      <c r="F149" s="146"/>
      <c r="G149" s="146"/>
      <c r="H149" s="146"/>
    </row>
    <row r="150" spans="1:8" x14ac:dyDescent="0.25">
      <c r="A150" s="132" t="s">
        <v>74</v>
      </c>
      <c r="B150" s="130">
        <f>cennik!G153</f>
        <v>0</v>
      </c>
      <c r="C150" s="144"/>
      <c r="D150" s="145"/>
      <c r="E150" s="146"/>
      <c r="F150" s="146"/>
      <c r="G150" s="146"/>
      <c r="H150" s="146"/>
    </row>
    <row r="151" spans="1:8" x14ac:dyDescent="0.25">
      <c r="A151" s="132" t="s">
        <v>75</v>
      </c>
      <c r="B151" s="130">
        <f>cennik!G154</f>
        <v>0</v>
      </c>
      <c r="C151" s="144"/>
      <c r="D151" s="145"/>
      <c r="E151" s="146"/>
      <c r="F151" s="146"/>
      <c r="G151" s="146"/>
      <c r="H151" s="146"/>
    </row>
    <row r="152" spans="1:8" x14ac:dyDescent="0.25">
      <c r="A152" s="132" t="s">
        <v>76</v>
      </c>
      <c r="B152" s="130">
        <f>cennik!G155</f>
        <v>0</v>
      </c>
      <c r="C152" s="144"/>
      <c r="D152" s="145"/>
      <c r="E152" s="146"/>
      <c r="F152" s="146"/>
      <c r="G152" s="146"/>
      <c r="H152" s="146"/>
    </row>
    <row r="153" spans="1:8" x14ac:dyDescent="0.25">
      <c r="A153" s="132" t="s">
        <v>77</v>
      </c>
      <c r="B153" s="130">
        <f>cennik!G156</f>
        <v>0</v>
      </c>
      <c r="C153" s="144"/>
      <c r="D153" s="145"/>
      <c r="E153" s="146"/>
      <c r="F153" s="146"/>
      <c r="G153" s="146"/>
      <c r="H153" s="146"/>
    </row>
    <row r="154" spans="1:8" x14ac:dyDescent="0.25">
      <c r="A154" s="114" t="s">
        <v>78</v>
      </c>
      <c r="B154" s="130">
        <f>cennik!G157</f>
        <v>0</v>
      </c>
      <c r="C154" s="144"/>
      <c r="D154" s="145"/>
      <c r="E154" s="146"/>
      <c r="F154" s="146"/>
      <c r="G154" s="146"/>
      <c r="H154" s="146"/>
    </row>
    <row r="155" spans="1:8" x14ac:dyDescent="0.25">
      <c r="A155" s="114" t="s">
        <v>79</v>
      </c>
      <c r="B155" s="130">
        <f>cennik!G158</f>
        <v>0</v>
      </c>
      <c r="C155" s="144"/>
      <c r="D155" s="145"/>
      <c r="E155" s="146"/>
      <c r="F155" s="146"/>
      <c r="G155" s="146"/>
      <c r="H155" s="146"/>
    </row>
    <row r="156" spans="1:8" x14ac:dyDescent="0.25">
      <c r="A156" s="114" t="s">
        <v>80</v>
      </c>
      <c r="B156" s="130">
        <f>cennik!G159</f>
        <v>0</v>
      </c>
      <c r="C156" s="144"/>
      <c r="D156" s="145"/>
      <c r="E156" s="146"/>
      <c r="F156" s="146"/>
      <c r="G156" s="146"/>
      <c r="H156" s="146"/>
    </row>
    <row r="157" spans="1:8" x14ac:dyDescent="0.25">
      <c r="A157" s="114" t="s">
        <v>81</v>
      </c>
      <c r="B157" s="130">
        <f>cennik!G160</f>
        <v>0</v>
      </c>
      <c r="C157" s="144"/>
      <c r="D157" s="145"/>
      <c r="E157" s="146"/>
      <c r="F157" s="146"/>
      <c r="G157" s="146"/>
      <c r="H157" s="146"/>
    </row>
    <row r="158" spans="1:8" x14ac:dyDescent="0.25">
      <c r="A158" s="114" t="s">
        <v>82</v>
      </c>
      <c r="B158" s="130">
        <f>cennik!G161</f>
        <v>0</v>
      </c>
      <c r="C158" s="144"/>
      <c r="D158" s="145"/>
      <c r="E158" s="146"/>
      <c r="F158" s="146"/>
      <c r="G158" s="146"/>
      <c r="H158" s="146"/>
    </row>
    <row r="159" spans="1:8" x14ac:dyDescent="0.25">
      <c r="A159" s="114" t="s">
        <v>353</v>
      </c>
      <c r="B159" s="130">
        <f>cennik!G162</f>
        <v>0</v>
      </c>
      <c r="C159" s="144"/>
      <c r="D159" s="145"/>
      <c r="E159" s="146"/>
      <c r="F159" s="146"/>
      <c r="G159" s="146"/>
      <c r="H159" s="146"/>
    </row>
    <row r="160" spans="1:8" x14ac:dyDescent="0.25">
      <c r="A160" s="129" t="s">
        <v>83</v>
      </c>
      <c r="B160" s="130">
        <f>cennik!G163</f>
        <v>0</v>
      </c>
      <c r="C160" s="144"/>
      <c r="D160" s="145"/>
      <c r="E160" s="146"/>
      <c r="F160" s="146"/>
      <c r="G160" s="146"/>
      <c r="H160" s="146"/>
    </row>
    <row r="161" spans="1:8" x14ac:dyDescent="0.25">
      <c r="A161" s="129" t="s">
        <v>84</v>
      </c>
      <c r="B161" s="130">
        <f>cennik!G164</f>
        <v>0</v>
      </c>
      <c r="C161" s="144"/>
      <c r="D161" s="145"/>
      <c r="E161" s="146"/>
      <c r="F161" s="146"/>
      <c r="G161" s="146"/>
      <c r="H161" s="146"/>
    </row>
    <row r="162" spans="1:8" x14ac:dyDescent="0.25">
      <c r="A162" s="114" t="s">
        <v>354</v>
      </c>
      <c r="B162" s="130">
        <f>cennik!G165</f>
        <v>0</v>
      </c>
      <c r="C162" s="144"/>
      <c r="D162" s="145"/>
      <c r="E162" s="146"/>
      <c r="F162" s="146"/>
      <c r="G162" s="146"/>
      <c r="H162" s="146"/>
    </row>
    <row r="163" spans="1:8" x14ac:dyDescent="0.25">
      <c r="A163" s="114" t="s">
        <v>355</v>
      </c>
      <c r="B163" s="130">
        <f>cennik!G166</f>
        <v>0</v>
      </c>
      <c r="C163" s="144"/>
      <c r="D163" s="145"/>
      <c r="E163" s="146"/>
      <c r="F163" s="146"/>
      <c r="G163" s="146"/>
      <c r="H163" s="146"/>
    </row>
    <row r="164" spans="1:8" x14ac:dyDescent="0.25">
      <c r="A164" s="118" t="s">
        <v>85</v>
      </c>
      <c r="B164" s="130">
        <f>cennik!G167</f>
        <v>0</v>
      </c>
      <c r="C164" s="144"/>
      <c r="D164" s="145"/>
      <c r="E164" s="146"/>
      <c r="F164" s="146"/>
      <c r="G164" s="146"/>
      <c r="H164" s="146"/>
    </row>
    <row r="165" spans="1:8" x14ac:dyDescent="0.25">
      <c r="A165" s="118" t="s">
        <v>356</v>
      </c>
      <c r="B165" s="130">
        <f>cennik!G168</f>
        <v>0</v>
      </c>
      <c r="C165" s="144"/>
      <c r="D165" s="145"/>
      <c r="E165" s="146"/>
      <c r="F165" s="146"/>
      <c r="G165" s="146"/>
      <c r="H165" s="146"/>
    </row>
    <row r="166" spans="1:8" x14ac:dyDescent="0.25">
      <c r="A166" s="132" t="s">
        <v>86</v>
      </c>
      <c r="B166" s="130">
        <f>cennik!G169</f>
        <v>0</v>
      </c>
      <c r="C166" s="144"/>
      <c r="D166" s="145"/>
      <c r="E166" s="146"/>
      <c r="F166" s="146"/>
      <c r="G166" s="146"/>
      <c r="H166" s="146"/>
    </row>
    <row r="167" spans="1:8" x14ac:dyDescent="0.25">
      <c r="A167" s="132" t="s">
        <v>87</v>
      </c>
      <c r="B167" s="130">
        <f>cennik!G170</f>
        <v>0</v>
      </c>
      <c r="C167" s="144"/>
      <c r="D167" s="145"/>
      <c r="E167" s="146"/>
      <c r="F167" s="146"/>
      <c r="G167" s="146"/>
      <c r="H167" s="146"/>
    </row>
    <row r="168" spans="1:8" x14ac:dyDescent="0.25">
      <c r="A168" s="132" t="s">
        <v>88</v>
      </c>
      <c r="B168" s="130">
        <f>cennik!G171</f>
        <v>0</v>
      </c>
      <c r="C168" s="144"/>
      <c r="D168" s="145"/>
      <c r="E168" s="146"/>
      <c r="F168" s="146"/>
      <c r="G168" s="146"/>
      <c r="H168" s="146"/>
    </row>
    <row r="169" spans="1:8" x14ac:dyDescent="0.25">
      <c r="A169" s="132" t="s">
        <v>89</v>
      </c>
      <c r="B169" s="130">
        <f>cennik!G172</f>
        <v>0</v>
      </c>
      <c r="C169" s="144"/>
      <c r="D169" s="145"/>
      <c r="E169" s="146"/>
      <c r="F169" s="146"/>
      <c r="G169" s="146"/>
      <c r="H169" s="146"/>
    </row>
    <row r="170" spans="1:8" x14ac:dyDescent="0.25">
      <c r="A170" s="132" t="s">
        <v>90</v>
      </c>
      <c r="B170" s="130">
        <f>cennik!G173</f>
        <v>0</v>
      </c>
      <c r="C170" s="144"/>
      <c r="D170" s="145"/>
      <c r="E170" s="146"/>
      <c r="F170" s="146"/>
      <c r="G170" s="146"/>
      <c r="H170" s="146"/>
    </row>
    <row r="171" spans="1:8" x14ac:dyDescent="0.25">
      <c r="A171" s="132" t="s">
        <v>91</v>
      </c>
      <c r="B171" s="130">
        <f>cennik!G174</f>
        <v>0</v>
      </c>
      <c r="C171" s="144"/>
      <c r="D171" s="145"/>
      <c r="E171" s="146"/>
      <c r="F171" s="146"/>
      <c r="G171" s="146"/>
      <c r="H171" s="146"/>
    </row>
    <row r="172" spans="1:8" x14ac:dyDescent="0.25">
      <c r="A172" s="117" t="s">
        <v>92</v>
      </c>
      <c r="B172" s="130">
        <f>cennik!G175</f>
        <v>0</v>
      </c>
      <c r="C172" s="144"/>
      <c r="D172" s="145"/>
      <c r="E172" s="146"/>
      <c r="F172" s="146"/>
      <c r="G172" s="146"/>
      <c r="H172" s="146"/>
    </row>
    <row r="173" spans="1:8" x14ac:dyDescent="0.25">
      <c r="A173" s="114" t="s">
        <v>93</v>
      </c>
      <c r="B173" s="130">
        <f>cennik!G176</f>
        <v>0</v>
      </c>
      <c r="C173" s="144"/>
      <c r="D173" s="145"/>
      <c r="E173" s="146"/>
      <c r="F173" s="146"/>
      <c r="G173" s="146"/>
      <c r="H173" s="146"/>
    </row>
    <row r="174" spans="1:8" x14ac:dyDescent="0.25">
      <c r="A174" s="114" t="s">
        <v>94</v>
      </c>
      <c r="B174" s="130">
        <f>cennik!G177</f>
        <v>0</v>
      </c>
      <c r="C174" s="144"/>
      <c r="D174" s="145"/>
      <c r="E174" s="146"/>
      <c r="F174" s="146"/>
      <c r="G174" s="146"/>
      <c r="H174" s="146"/>
    </row>
    <row r="175" spans="1:8" x14ac:dyDescent="0.25">
      <c r="A175" s="114" t="s">
        <v>95</v>
      </c>
      <c r="B175" s="130">
        <f>cennik!G178</f>
        <v>0</v>
      </c>
      <c r="C175" s="144"/>
      <c r="D175" s="145"/>
      <c r="E175" s="146"/>
      <c r="F175" s="146"/>
      <c r="G175" s="146"/>
      <c r="H175" s="146"/>
    </row>
    <row r="176" spans="1:8" x14ac:dyDescent="0.25">
      <c r="A176" s="114" t="s">
        <v>96</v>
      </c>
      <c r="B176" s="130">
        <f>cennik!G179</f>
        <v>0</v>
      </c>
      <c r="C176" s="144"/>
      <c r="D176" s="145"/>
      <c r="E176" s="146"/>
      <c r="F176" s="146"/>
      <c r="G176" s="146"/>
      <c r="H176" s="146"/>
    </row>
    <row r="177" spans="1:8" x14ac:dyDescent="0.25">
      <c r="A177" s="114" t="s">
        <v>97</v>
      </c>
      <c r="B177" s="130">
        <f>cennik!G180</f>
        <v>0</v>
      </c>
      <c r="C177" s="144"/>
      <c r="D177" s="145"/>
      <c r="E177" s="146"/>
      <c r="F177" s="146"/>
      <c r="G177" s="146"/>
      <c r="H177" s="146"/>
    </row>
    <row r="178" spans="1:8" x14ac:dyDescent="0.25">
      <c r="A178" s="116" t="s">
        <v>98</v>
      </c>
      <c r="B178" s="130">
        <f>cennik!G181</f>
        <v>0</v>
      </c>
      <c r="C178" s="144"/>
      <c r="D178" s="145"/>
      <c r="E178" s="146"/>
      <c r="F178" s="146"/>
      <c r="G178" s="146"/>
      <c r="H178" s="146"/>
    </row>
    <row r="179" spans="1:8" x14ac:dyDescent="0.25">
      <c r="A179" s="116" t="s">
        <v>99</v>
      </c>
      <c r="B179" s="130">
        <f>cennik!G182</f>
        <v>0</v>
      </c>
      <c r="C179" s="144"/>
      <c r="D179" s="145"/>
      <c r="E179" s="146"/>
      <c r="F179" s="146"/>
      <c r="G179" s="146"/>
      <c r="H179" s="146"/>
    </row>
    <row r="180" spans="1:8" x14ac:dyDescent="0.25">
      <c r="A180" s="116" t="s">
        <v>100</v>
      </c>
      <c r="B180" s="130">
        <f>cennik!G183</f>
        <v>0</v>
      </c>
      <c r="C180" s="144"/>
      <c r="D180" s="145"/>
      <c r="E180" s="146"/>
      <c r="F180" s="146"/>
      <c r="G180" s="146"/>
      <c r="H180" s="146"/>
    </row>
    <row r="181" spans="1:8" x14ac:dyDescent="0.25">
      <c r="A181" s="116" t="s">
        <v>101</v>
      </c>
      <c r="B181" s="130">
        <f>cennik!G184</f>
        <v>0</v>
      </c>
      <c r="C181" s="144"/>
      <c r="D181" s="145"/>
      <c r="E181" s="146"/>
      <c r="F181" s="146"/>
      <c r="G181" s="146"/>
      <c r="H181" s="146"/>
    </row>
    <row r="182" spans="1:8" x14ac:dyDescent="0.25">
      <c r="A182" s="114" t="s">
        <v>102</v>
      </c>
      <c r="B182" s="130">
        <f>cennik!G185</f>
        <v>0</v>
      </c>
      <c r="C182" s="144"/>
      <c r="D182" s="145"/>
      <c r="E182" s="146"/>
      <c r="F182" s="146"/>
      <c r="G182" s="146"/>
      <c r="H182" s="146"/>
    </row>
    <row r="183" spans="1:8" x14ac:dyDescent="0.25">
      <c r="A183" s="114" t="s">
        <v>357</v>
      </c>
      <c r="B183" s="130">
        <f>cennik!G186</f>
        <v>0</v>
      </c>
      <c r="C183" s="144"/>
      <c r="D183" s="145"/>
      <c r="E183" s="146"/>
      <c r="F183" s="146"/>
      <c r="G183" s="146"/>
      <c r="H183" s="146"/>
    </row>
    <row r="184" spans="1:8" x14ac:dyDescent="0.25">
      <c r="A184" s="114" t="s">
        <v>103</v>
      </c>
      <c r="B184" s="130">
        <f>cennik!G187</f>
        <v>0</v>
      </c>
      <c r="C184" s="144"/>
      <c r="D184" s="145"/>
      <c r="E184" s="146"/>
      <c r="F184" s="146"/>
      <c r="G184" s="146"/>
      <c r="H184" s="146"/>
    </row>
    <row r="185" spans="1:8" x14ac:dyDescent="0.25">
      <c r="A185" s="114" t="s">
        <v>358</v>
      </c>
      <c r="B185" s="130">
        <f>cennik!G188</f>
        <v>0</v>
      </c>
      <c r="C185" s="144"/>
      <c r="D185" s="145"/>
      <c r="E185" s="146"/>
      <c r="F185" s="146"/>
      <c r="G185" s="146"/>
      <c r="H185" s="146"/>
    </row>
    <row r="186" spans="1:8" x14ac:dyDescent="0.25">
      <c r="A186" s="114" t="s">
        <v>104</v>
      </c>
      <c r="B186" s="130">
        <f>cennik!G189</f>
        <v>0</v>
      </c>
      <c r="C186" s="144"/>
      <c r="D186" s="145"/>
      <c r="E186" s="146"/>
      <c r="F186" s="146"/>
      <c r="G186" s="146"/>
      <c r="H186" s="146"/>
    </row>
    <row r="187" spans="1:8" x14ac:dyDescent="0.25">
      <c r="A187" s="114" t="s">
        <v>105</v>
      </c>
      <c r="B187" s="130">
        <f>cennik!G190</f>
        <v>0</v>
      </c>
      <c r="C187" s="144"/>
      <c r="D187" s="145"/>
      <c r="E187" s="146"/>
      <c r="F187" s="146"/>
      <c r="G187" s="146"/>
      <c r="H187" s="146"/>
    </row>
    <row r="188" spans="1:8" x14ac:dyDescent="0.25">
      <c r="A188" s="114" t="s">
        <v>106</v>
      </c>
      <c r="B188" s="130">
        <f>cennik!G191</f>
        <v>0</v>
      </c>
      <c r="C188" s="144"/>
      <c r="D188" s="145"/>
      <c r="E188" s="146"/>
      <c r="F188" s="146"/>
      <c r="G188" s="146"/>
      <c r="H188" s="146"/>
    </row>
    <row r="189" spans="1:8" x14ac:dyDescent="0.25">
      <c r="A189" s="114" t="s">
        <v>107</v>
      </c>
      <c r="B189" s="130">
        <f>cennik!G192</f>
        <v>0</v>
      </c>
      <c r="C189" s="144"/>
      <c r="D189" s="145"/>
      <c r="E189" s="146"/>
      <c r="F189" s="146"/>
      <c r="G189" s="146"/>
      <c r="H189" s="146"/>
    </row>
    <row r="190" spans="1:8" x14ac:dyDescent="0.25">
      <c r="A190" s="114" t="s">
        <v>108</v>
      </c>
      <c r="B190" s="130">
        <f>cennik!G193</f>
        <v>0</v>
      </c>
      <c r="C190" s="144"/>
      <c r="D190" s="145"/>
      <c r="E190" s="146"/>
      <c r="F190" s="146"/>
      <c r="G190" s="146"/>
      <c r="H190" s="146"/>
    </row>
    <row r="191" spans="1:8" x14ac:dyDescent="0.25">
      <c r="A191" s="114" t="s">
        <v>109</v>
      </c>
      <c r="B191" s="130">
        <f>cennik!G194</f>
        <v>0</v>
      </c>
      <c r="C191" s="144"/>
      <c r="D191" s="145"/>
      <c r="E191" s="146"/>
      <c r="F191" s="146"/>
      <c r="G191" s="146"/>
      <c r="H191" s="146"/>
    </row>
    <row r="192" spans="1:8" x14ac:dyDescent="0.25">
      <c r="A192" s="114" t="s">
        <v>110</v>
      </c>
      <c r="B192" s="130">
        <f>cennik!G195</f>
        <v>0</v>
      </c>
      <c r="C192" s="144"/>
      <c r="D192" s="145"/>
      <c r="E192" s="146"/>
      <c r="F192" s="146"/>
      <c r="G192" s="146"/>
      <c r="H192" s="146"/>
    </row>
    <row r="193" spans="1:8" x14ac:dyDescent="0.25">
      <c r="A193" s="114" t="s">
        <v>359</v>
      </c>
      <c r="B193" s="130">
        <f>cennik!G196</f>
        <v>0</v>
      </c>
      <c r="C193" s="144"/>
      <c r="D193" s="145"/>
      <c r="E193" s="146"/>
      <c r="F193" s="146"/>
      <c r="G193" s="146"/>
      <c r="H193" s="146"/>
    </row>
    <row r="194" spans="1:8" x14ac:dyDescent="0.25">
      <c r="A194" s="114" t="s">
        <v>360</v>
      </c>
      <c r="B194" s="130">
        <f>cennik!G197</f>
        <v>0</v>
      </c>
      <c r="C194" s="144"/>
      <c r="D194" s="145"/>
      <c r="E194" s="146"/>
      <c r="F194" s="146"/>
      <c r="G194" s="146"/>
      <c r="H194" s="146"/>
    </row>
    <row r="195" spans="1:8" x14ac:dyDescent="0.25">
      <c r="A195" s="114" t="s">
        <v>361</v>
      </c>
      <c r="B195" s="130">
        <f>cennik!G198</f>
        <v>0</v>
      </c>
      <c r="C195" s="144"/>
      <c r="D195" s="145"/>
      <c r="E195" s="146"/>
      <c r="F195" s="146"/>
      <c r="G195" s="146"/>
      <c r="H195" s="146"/>
    </row>
    <row r="196" spans="1:8" x14ac:dyDescent="0.25">
      <c r="A196" s="114" t="s">
        <v>362</v>
      </c>
      <c r="B196" s="130">
        <f>cennik!G199</f>
        <v>0</v>
      </c>
      <c r="C196" s="144"/>
      <c r="D196" s="145"/>
      <c r="E196" s="146"/>
      <c r="F196" s="146"/>
      <c r="G196" s="146"/>
      <c r="H196" s="146"/>
    </row>
    <row r="197" spans="1:8" x14ac:dyDescent="0.25">
      <c r="A197" s="114" t="s">
        <v>363</v>
      </c>
      <c r="B197" s="130">
        <f>cennik!G200</f>
        <v>0</v>
      </c>
      <c r="C197" s="144"/>
      <c r="D197" s="145"/>
      <c r="E197" s="146"/>
      <c r="F197" s="146"/>
      <c r="G197" s="146"/>
      <c r="H197" s="146"/>
    </row>
    <row r="198" spans="1:8" x14ac:dyDescent="0.25">
      <c r="A198" s="129" t="s">
        <v>111</v>
      </c>
      <c r="B198" s="130">
        <f>cennik!G201</f>
        <v>0</v>
      </c>
      <c r="C198" s="144"/>
      <c r="D198" s="145"/>
      <c r="E198" s="146"/>
      <c r="F198" s="146"/>
      <c r="G198" s="146"/>
      <c r="H198" s="146"/>
    </row>
    <row r="199" spans="1:8" x14ac:dyDescent="0.25">
      <c r="A199" s="129" t="s">
        <v>312</v>
      </c>
      <c r="B199" s="130">
        <f>cennik!G202</f>
        <v>0</v>
      </c>
      <c r="C199" s="144"/>
      <c r="D199" s="145"/>
      <c r="E199" s="146"/>
      <c r="F199" s="146"/>
      <c r="G199" s="146"/>
      <c r="H199" s="146"/>
    </row>
    <row r="200" spans="1:8" x14ac:dyDescent="0.25">
      <c r="A200" s="138" t="s">
        <v>112</v>
      </c>
      <c r="B200" s="130">
        <f>cennik!G203</f>
        <v>0</v>
      </c>
      <c r="C200" s="144"/>
      <c r="D200" s="145"/>
      <c r="E200" s="146"/>
      <c r="F200" s="146"/>
      <c r="G200" s="146"/>
      <c r="H200" s="146"/>
    </row>
    <row r="201" spans="1:8" x14ac:dyDescent="0.25">
      <c r="A201" s="116" t="s">
        <v>364</v>
      </c>
      <c r="B201" s="130">
        <f>cennik!G204</f>
        <v>0</v>
      </c>
      <c r="C201" s="144"/>
      <c r="D201" s="145"/>
      <c r="E201" s="146"/>
      <c r="F201" s="146"/>
      <c r="G201" s="146"/>
      <c r="H201" s="146"/>
    </row>
    <row r="202" spans="1:8" x14ac:dyDescent="0.25">
      <c r="A202" s="116" t="s">
        <v>365</v>
      </c>
      <c r="B202" s="130">
        <f>cennik!G205</f>
        <v>0</v>
      </c>
      <c r="C202" s="144"/>
      <c r="D202" s="145"/>
      <c r="E202" s="146"/>
      <c r="F202" s="146"/>
      <c r="G202" s="146"/>
      <c r="H202" s="146"/>
    </row>
    <row r="203" spans="1:8" x14ac:dyDescent="0.25">
      <c r="A203" s="116" t="s">
        <v>113</v>
      </c>
      <c r="B203" s="130">
        <f>cennik!G206</f>
        <v>0</v>
      </c>
      <c r="C203" s="144"/>
      <c r="D203" s="145"/>
      <c r="E203" s="146"/>
      <c r="F203" s="146"/>
      <c r="G203" s="146"/>
      <c r="H203" s="146"/>
    </row>
    <row r="204" spans="1:8" x14ac:dyDescent="0.25">
      <c r="A204" s="116" t="s">
        <v>366</v>
      </c>
      <c r="B204" s="130">
        <f>cennik!G207</f>
        <v>0</v>
      </c>
      <c r="C204" s="144"/>
      <c r="D204" s="145"/>
      <c r="E204" s="146"/>
      <c r="F204" s="146"/>
      <c r="G204" s="146"/>
      <c r="H204" s="146"/>
    </row>
    <row r="205" spans="1:8" x14ac:dyDescent="0.25">
      <c r="A205" s="116" t="s">
        <v>367</v>
      </c>
      <c r="B205" s="130">
        <f>cennik!G208</f>
        <v>0</v>
      </c>
      <c r="C205" s="144"/>
      <c r="D205" s="145"/>
      <c r="E205" s="146"/>
      <c r="F205" s="146"/>
      <c r="G205" s="146"/>
      <c r="H205" s="146"/>
    </row>
    <row r="206" spans="1:8" x14ac:dyDescent="0.25">
      <c r="A206" s="116" t="s">
        <v>368</v>
      </c>
      <c r="B206" s="130">
        <f>cennik!G209</f>
        <v>0</v>
      </c>
      <c r="C206" s="144"/>
      <c r="D206" s="145"/>
      <c r="E206" s="146"/>
      <c r="F206" s="146"/>
      <c r="G206" s="146"/>
      <c r="H206" s="146"/>
    </row>
    <row r="207" spans="1:8" x14ac:dyDescent="0.25">
      <c r="A207" s="116" t="s">
        <v>369</v>
      </c>
      <c r="B207" s="130">
        <f>cennik!G210</f>
        <v>0</v>
      </c>
      <c r="C207" s="144"/>
      <c r="D207" s="145"/>
      <c r="E207" s="146"/>
      <c r="F207" s="146"/>
      <c r="G207" s="146"/>
      <c r="H207" s="146"/>
    </row>
    <row r="208" spans="1:8" x14ac:dyDescent="0.25">
      <c r="A208" s="116" t="s">
        <v>114</v>
      </c>
      <c r="B208" s="130">
        <f>cennik!G211</f>
        <v>0</v>
      </c>
      <c r="C208" s="144"/>
      <c r="D208" s="145"/>
      <c r="E208" s="146"/>
      <c r="F208" s="146"/>
      <c r="G208" s="146"/>
      <c r="H208" s="146"/>
    </row>
    <row r="209" spans="1:8" x14ac:dyDescent="0.25">
      <c r="A209" s="116" t="s">
        <v>370</v>
      </c>
      <c r="B209" s="130">
        <f>cennik!G212</f>
        <v>0</v>
      </c>
      <c r="C209" s="144"/>
      <c r="D209" s="145"/>
      <c r="E209" s="146"/>
      <c r="F209" s="146"/>
      <c r="G209" s="146"/>
      <c r="H209" s="146"/>
    </row>
    <row r="210" spans="1:8" x14ac:dyDescent="0.25">
      <c r="A210" s="116" t="s">
        <v>115</v>
      </c>
      <c r="B210" s="130">
        <f>cennik!G213</f>
        <v>0</v>
      </c>
      <c r="C210" s="144"/>
      <c r="D210" s="145"/>
      <c r="E210" s="146"/>
      <c r="F210" s="146"/>
      <c r="G210" s="146"/>
      <c r="H210" s="146"/>
    </row>
    <row r="211" spans="1:8" x14ac:dyDescent="0.25">
      <c r="A211" s="116" t="s">
        <v>371</v>
      </c>
      <c r="B211" s="130">
        <f>cennik!G214</f>
        <v>0</v>
      </c>
      <c r="C211" s="144"/>
      <c r="D211" s="145"/>
      <c r="E211" s="146"/>
      <c r="F211" s="146"/>
      <c r="G211" s="146"/>
      <c r="H211" s="146"/>
    </row>
    <row r="212" spans="1:8" x14ac:dyDescent="0.25">
      <c r="A212" s="116" t="s">
        <v>372</v>
      </c>
      <c r="B212" s="130">
        <f>cennik!G215</f>
        <v>0</v>
      </c>
      <c r="C212" s="144"/>
      <c r="D212" s="145"/>
      <c r="E212" s="146"/>
      <c r="F212" s="146"/>
      <c r="G212" s="146"/>
      <c r="H212" s="146"/>
    </row>
    <row r="213" spans="1:8" x14ac:dyDescent="0.25">
      <c r="A213" s="138" t="s">
        <v>116</v>
      </c>
      <c r="B213" s="130">
        <f>cennik!G216</f>
        <v>0</v>
      </c>
      <c r="C213" s="144"/>
      <c r="D213" s="145"/>
      <c r="E213" s="146"/>
      <c r="F213" s="146"/>
      <c r="G213" s="146"/>
      <c r="H213" s="146"/>
    </row>
    <row r="214" spans="1:8" x14ac:dyDescent="0.25">
      <c r="A214" s="138" t="s">
        <v>117</v>
      </c>
      <c r="B214" s="130">
        <f>cennik!G217</f>
        <v>0</v>
      </c>
      <c r="C214" s="144"/>
      <c r="D214" s="145"/>
      <c r="E214" s="146"/>
      <c r="F214" s="146"/>
      <c r="G214" s="146"/>
      <c r="H214" s="146"/>
    </row>
    <row r="215" spans="1:8" x14ac:dyDescent="0.25">
      <c r="A215" s="138"/>
      <c r="B215" s="130">
        <f>cennik!G218</f>
        <v>0</v>
      </c>
      <c r="C215" s="144"/>
      <c r="D215" s="145"/>
      <c r="E215" s="146"/>
      <c r="F215" s="146"/>
      <c r="G215" s="146"/>
      <c r="H215" s="146"/>
    </row>
    <row r="216" spans="1:8" x14ac:dyDescent="0.25">
      <c r="A216" s="138"/>
      <c r="B216" s="130">
        <f>cennik!G219</f>
        <v>0</v>
      </c>
      <c r="C216" s="144"/>
      <c r="D216" s="145"/>
      <c r="E216" s="146"/>
      <c r="F216" s="146"/>
      <c r="G216" s="146"/>
      <c r="H216" s="146"/>
    </row>
    <row r="217" spans="1:8" x14ac:dyDescent="0.25">
      <c r="A217" s="138" t="s">
        <v>118</v>
      </c>
      <c r="B217" s="130">
        <f>cennik!G220</f>
        <v>0</v>
      </c>
      <c r="C217" s="144"/>
      <c r="D217" s="145"/>
      <c r="E217" s="146"/>
      <c r="F217" s="146"/>
      <c r="G217" s="146"/>
      <c r="H217" s="146"/>
    </row>
    <row r="218" spans="1:8" x14ac:dyDescent="0.25">
      <c r="A218" s="138"/>
      <c r="B218" s="130">
        <f>cennik!G221</f>
        <v>0</v>
      </c>
      <c r="C218" s="144"/>
      <c r="D218" s="145"/>
      <c r="E218" s="146"/>
      <c r="F218" s="146"/>
      <c r="G218" s="146"/>
      <c r="H218" s="146"/>
    </row>
    <row r="219" spans="1:8" x14ac:dyDescent="0.25">
      <c r="A219" s="138"/>
      <c r="B219" s="130">
        <f>cennik!G222</f>
        <v>0</v>
      </c>
      <c r="C219" s="144"/>
      <c r="D219" s="145"/>
      <c r="E219" s="146"/>
      <c r="F219" s="146"/>
      <c r="G219" s="146"/>
      <c r="H219" s="146"/>
    </row>
    <row r="220" spans="1:8" x14ac:dyDescent="0.25">
      <c r="A220" s="138"/>
      <c r="B220" s="130">
        <f>cennik!G223</f>
        <v>0</v>
      </c>
      <c r="C220" s="144"/>
      <c r="D220" s="145"/>
      <c r="E220" s="146"/>
      <c r="F220" s="146"/>
      <c r="G220" s="146"/>
      <c r="H220" s="146"/>
    </row>
    <row r="221" spans="1:8" x14ac:dyDescent="0.25">
      <c r="A221" s="138"/>
      <c r="B221" s="130">
        <f>cennik!G224</f>
        <v>0</v>
      </c>
      <c r="C221" s="144"/>
      <c r="D221" s="145"/>
      <c r="E221" s="146"/>
      <c r="F221" s="146"/>
      <c r="G221" s="146"/>
      <c r="H221" s="146"/>
    </row>
    <row r="222" spans="1:8" x14ac:dyDescent="0.25">
      <c r="A222" s="138" t="s">
        <v>342</v>
      </c>
      <c r="B222" s="130">
        <f>cennik!G225</f>
        <v>0</v>
      </c>
      <c r="C222" s="144"/>
      <c r="D222" s="145"/>
      <c r="E222" s="146"/>
      <c r="F222" s="146"/>
      <c r="G222" s="146"/>
      <c r="H222" s="146"/>
    </row>
    <row r="223" spans="1:8" x14ac:dyDescent="0.25">
      <c r="A223" s="138" t="s">
        <v>343</v>
      </c>
      <c r="B223" s="130">
        <f>cennik!G226</f>
        <v>0</v>
      </c>
      <c r="C223" s="144"/>
      <c r="D223" s="145"/>
      <c r="E223" s="146"/>
      <c r="F223" s="146"/>
      <c r="G223" s="146"/>
      <c r="H223" s="146"/>
    </row>
    <row r="224" spans="1:8" x14ac:dyDescent="0.25">
      <c r="A224" s="138" t="s">
        <v>119</v>
      </c>
      <c r="B224" s="130">
        <f>cennik!G227</f>
        <v>0</v>
      </c>
      <c r="C224" s="144"/>
      <c r="D224" s="145"/>
      <c r="E224" s="146"/>
      <c r="F224" s="146"/>
      <c r="G224" s="146"/>
      <c r="H224" s="146"/>
    </row>
    <row r="225" spans="1:8" x14ac:dyDescent="0.25">
      <c r="A225" s="138" t="s">
        <v>313</v>
      </c>
      <c r="B225" s="130">
        <f>cennik!G228</f>
        <v>0</v>
      </c>
      <c r="C225" s="144"/>
      <c r="D225" s="145"/>
      <c r="E225" s="146"/>
      <c r="F225" s="146"/>
      <c r="G225" s="146"/>
      <c r="H225" s="146"/>
    </row>
    <row r="226" spans="1:8" x14ac:dyDescent="0.25">
      <c r="A226" s="138" t="s">
        <v>120</v>
      </c>
      <c r="B226" s="130">
        <f>cennik!G229</f>
        <v>0</v>
      </c>
      <c r="C226" s="144"/>
      <c r="D226" s="145"/>
      <c r="E226" s="146"/>
      <c r="F226" s="146"/>
      <c r="G226" s="146"/>
      <c r="H226" s="146"/>
    </row>
    <row r="227" spans="1:8" x14ac:dyDescent="0.25">
      <c r="A227" s="129" t="s">
        <v>121</v>
      </c>
      <c r="B227" s="130">
        <f>cennik!G230</f>
        <v>0</v>
      </c>
      <c r="C227" s="144"/>
      <c r="D227" s="145"/>
      <c r="E227" s="146"/>
      <c r="F227" s="146"/>
      <c r="G227" s="146"/>
      <c r="H227" s="146"/>
    </row>
    <row r="228" spans="1:8" x14ac:dyDescent="0.25">
      <c r="A228" s="129" t="s">
        <v>122</v>
      </c>
      <c r="B228" s="130">
        <f>cennik!G231</f>
        <v>0</v>
      </c>
      <c r="C228" s="144"/>
      <c r="D228" s="145"/>
      <c r="E228" s="146"/>
      <c r="F228" s="146"/>
      <c r="G228" s="146"/>
      <c r="H228" s="146"/>
    </row>
    <row r="229" spans="1:8" x14ac:dyDescent="0.25">
      <c r="A229" s="129" t="s">
        <v>123</v>
      </c>
      <c r="B229" s="130">
        <f>cennik!G232</f>
        <v>0</v>
      </c>
      <c r="C229" s="144"/>
      <c r="D229" s="145"/>
      <c r="E229" s="146"/>
      <c r="F229" s="146"/>
      <c r="G229" s="146"/>
      <c r="H229" s="146"/>
    </row>
    <row r="230" spans="1:8" x14ac:dyDescent="0.25">
      <c r="A230" s="129" t="s">
        <v>124</v>
      </c>
      <c r="B230" s="130">
        <f>cennik!G233</f>
        <v>0</v>
      </c>
      <c r="C230" s="144"/>
      <c r="D230" s="145"/>
      <c r="E230" s="146"/>
      <c r="F230" s="146"/>
      <c r="G230" s="146"/>
      <c r="H230" s="146"/>
    </row>
    <row r="231" spans="1:8" x14ac:dyDescent="0.25">
      <c r="A231" s="129" t="s">
        <v>314</v>
      </c>
      <c r="B231" s="130">
        <f>cennik!G234</f>
        <v>0</v>
      </c>
      <c r="C231" s="144"/>
      <c r="D231" s="145"/>
      <c r="E231" s="146"/>
      <c r="F231" s="146"/>
      <c r="G231" s="146"/>
      <c r="H231" s="146"/>
    </row>
    <row r="232" spans="1:8" x14ac:dyDescent="0.25">
      <c r="A232" s="129" t="s">
        <v>125</v>
      </c>
      <c r="B232" s="130">
        <f>cennik!G235</f>
        <v>0</v>
      </c>
      <c r="C232" s="144"/>
      <c r="D232" s="145"/>
      <c r="E232" s="146"/>
      <c r="F232" s="146"/>
      <c r="G232" s="146"/>
      <c r="H232" s="146"/>
    </row>
    <row r="233" spans="1:8" x14ac:dyDescent="0.25">
      <c r="A233" s="129" t="s">
        <v>126</v>
      </c>
      <c r="B233" s="130">
        <f>cennik!G236</f>
        <v>0</v>
      </c>
      <c r="C233" s="144"/>
      <c r="D233" s="145"/>
      <c r="E233" s="146"/>
      <c r="F233" s="146"/>
      <c r="G233" s="146"/>
      <c r="H233" s="146"/>
    </row>
    <row r="234" spans="1:8" x14ac:dyDescent="0.25">
      <c r="A234" s="129" t="s">
        <v>127</v>
      </c>
      <c r="B234" s="130">
        <f>cennik!G237</f>
        <v>0</v>
      </c>
      <c r="C234" s="144"/>
      <c r="D234" s="145"/>
      <c r="E234" s="146"/>
      <c r="F234" s="146"/>
      <c r="G234" s="146"/>
      <c r="H234" s="146"/>
    </row>
    <row r="235" spans="1:8" x14ac:dyDescent="0.25">
      <c r="A235" s="129" t="s">
        <v>345</v>
      </c>
      <c r="B235" s="130">
        <f>cennik!G238</f>
        <v>0</v>
      </c>
      <c r="C235" s="144"/>
      <c r="D235" s="145"/>
      <c r="E235" s="146"/>
      <c r="F235" s="146"/>
      <c r="G235" s="146"/>
      <c r="H235" s="146"/>
    </row>
    <row r="236" spans="1:8" x14ac:dyDescent="0.25">
      <c r="A236" s="129" t="s">
        <v>128</v>
      </c>
      <c r="B236" s="130">
        <f>cennik!G239</f>
        <v>0</v>
      </c>
      <c r="C236" s="144"/>
      <c r="D236" s="145"/>
      <c r="E236" s="146"/>
      <c r="F236" s="146"/>
      <c r="G236" s="146"/>
      <c r="H236" s="146"/>
    </row>
    <row r="237" spans="1:8" x14ac:dyDescent="0.25">
      <c r="A237" s="132" t="s">
        <v>129</v>
      </c>
      <c r="B237" s="130">
        <f>cennik!G240</f>
        <v>0</v>
      </c>
      <c r="C237" s="144"/>
      <c r="D237" s="145"/>
      <c r="E237" s="146"/>
      <c r="F237" s="146"/>
      <c r="G237" s="146"/>
      <c r="H237" s="146"/>
    </row>
    <row r="238" spans="1:8" x14ac:dyDescent="0.25">
      <c r="A238" s="132" t="s">
        <v>130</v>
      </c>
      <c r="B238" s="130">
        <f>cennik!G241</f>
        <v>0</v>
      </c>
      <c r="C238" s="144"/>
      <c r="D238" s="145"/>
      <c r="E238" s="146"/>
      <c r="F238" s="146"/>
      <c r="G238" s="146"/>
      <c r="H238" s="146"/>
    </row>
    <row r="239" spans="1:8" x14ac:dyDescent="0.25">
      <c r="A239" s="132" t="s">
        <v>306</v>
      </c>
      <c r="B239" s="130">
        <f>cennik!G242</f>
        <v>0</v>
      </c>
      <c r="C239" s="144"/>
      <c r="D239" s="145"/>
      <c r="E239" s="146"/>
      <c r="F239" s="146"/>
      <c r="G239" s="146"/>
      <c r="H239" s="146"/>
    </row>
    <row r="240" spans="1:8" x14ac:dyDescent="0.25">
      <c r="A240" s="129" t="s">
        <v>131</v>
      </c>
      <c r="B240" s="130">
        <f>cennik!G243</f>
        <v>0</v>
      </c>
      <c r="C240" s="144"/>
      <c r="D240" s="145"/>
      <c r="E240" s="146"/>
      <c r="F240" s="146"/>
      <c r="G240" s="146"/>
      <c r="H240" s="146"/>
    </row>
    <row r="241" spans="1:8" x14ac:dyDescent="0.25">
      <c r="A241" s="129" t="s">
        <v>132</v>
      </c>
      <c r="B241" s="130">
        <f>cennik!G244</f>
        <v>0</v>
      </c>
      <c r="C241" s="144"/>
      <c r="D241" s="145"/>
      <c r="E241" s="146"/>
      <c r="F241" s="146"/>
      <c r="G241" s="146"/>
      <c r="H241" s="146"/>
    </row>
    <row r="242" spans="1:8" x14ac:dyDescent="0.25">
      <c r="A242" s="129" t="s">
        <v>133</v>
      </c>
      <c r="B242" s="130">
        <f>cennik!G245</f>
        <v>0</v>
      </c>
      <c r="C242" s="144"/>
      <c r="D242" s="145"/>
      <c r="E242" s="146"/>
      <c r="F242" s="146"/>
      <c r="G242" s="146"/>
      <c r="H242" s="146"/>
    </row>
    <row r="243" spans="1:8" x14ac:dyDescent="0.25">
      <c r="A243" s="129" t="s">
        <v>134</v>
      </c>
      <c r="B243" s="130">
        <f>cennik!G246</f>
        <v>0</v>
      </c>
      <c r="C243" s="144"/>
      <c r="D243" s="145"/>
      <c r="E243" s="146"/>
      <c r="F243" s="146"/>
      <c r="G243" s="146"/>
      <c r="H243" s="146"/>
    </row>
    <row r="244" spans="1:8" x14ac:dyDescent="0.25">
      <c r="A244" s="129" t="s">
        <v>346</v>
      </c>
      <c r="B244" s="130">
        <f>cennik!G247</f>
        <v>0</v>
      </c>
      <c r="C244" s="144"/>
      <c r="D244" s="145"/>
      <c r="E244" s="146"/>
      <c r="F244" s="146"/>
      <c r="G244" s="146"/>
      <c r="H244" s="146"/>
    </row>
    <row r="245" spans="1:8" x14ac:dyDescent="0.25">
      <c r="A245" s="129" t="s">
        <v>135</v>
      </c>
      <c r="B245" s="130">
        <f>cennik!G248</f>
        <v>0</v>
      </c>
      <c r="C245" s="144"/>
      <c r="D245" s="145"/>
      <c r="E245" s="146"/>
      <c r="F245" s="146"/>
      <c r="G245" s="146"/>
      <c r="H245" s="146"/>
    </row>
    <row r="246" spans="1:8" x14ac:dyDescent="0.25">
      <c r="A246" s="129" t="s">
        <v>136</v>
      </c>
      <c r="B246" s="130">
        <f>cennik!G249</f>
        <v>0</v>
      </c>
      <c r="C246" s="144"/>
      <c r="D246" s="145"/>
      <c r="E246" s="146"/>
      <c r="F246" s="146"/>
      <c r="G246" s="146"/>
      <c r="H246" s="146"/>
    </row>
    <row r="247" spans="1:8" x14ac:dyDescent="0.25">
      <c r="A247" s="129" t="s">
        <v>137</v>
      </c>
      <c r="B247" s="130">
        <f>cennik!G250</f>
        <v>0</v>
      </c>
      <c r="C247" s="144"/>
      <c r="D247" s="145"/>
      <c r="E247" s="146"/>
      <c r="F247" s="146"/>
      <c r="G247" s="146"/>
      <c r="H247" s="146"/>
    </row>
    <row r="248" spans="1:8" x14ac:dyDescent="0.25">
      <c r="A248" s="129" t="s">
        <v>138</v>
      </c>
      <c r="B248" s="130">
        <f>cennik!G251</f>
        <v>0</v>
      </c>
      <c r="C248" s="144"/>
      <c r="D248" s="145"/>
      <c r="E248" s="146"/>
      <c r="F248" s="146"/>
      <c r="G248" s="146"/>
      <c r="H248" s="146"/>
    </row>
    <row r="249" spans="1:8" x14ac:dyDescent="0.25">
      <c r="A249" s="132" t="s">
        <v>139</v>
      </c>
      <c r="B249" s="130">
        <f>cennik!G252</f>
        <v>0</v>
      </c>
      <c r="C249" s="144"/>
      <c r="D249" s="145"/>
      <c r="E249" s="146"/>
      <c r="F249" s="146"/>
      <c r="G249" s="146"/>
      <c r="H249" s="146"/>
    </row>
    <row r="250" spans="1:8" x14ac:dyDescent="0.25">
      <c r="A250" s="132" t="s">
        <v>140</v>
      </c>
      <c r="B250" s="130">
        <f>cennik!G253</f>
        <v>0</v>
      </c>
      <c r="C250" s="144"/>
      <c r="D250" s="145"/>
      <c r="E250" s="146"/>
      <c r="F250" s="146"/>
      <c r="G250" s="146"/>
      <c r="H250" s="146"/>
    </row>
    <row r="251" spans="1:8" x14ac:dyDescent="0.25">
      <c r="A251" s="132" t="s">
        <v>141</v>
      </c>
      <c r="B251" s="130">
        <f>cennik!G254</f>
        <v>0</v>
      </c>
      <c r="C251" s="144"/>
      <c r="D251" s="145"/>
      <c r="E251" s="146"/>
      <c r="F251" s="146"/>
      <c r="G251" s="146"/>
      <c r="H251" s="146"/>
    </row>
    <row r="252" spans="1:8" x14ac:dyDescent="0.25">
      <c r="A252" s="132" t="s">
        <v>142</v>
      </c>
      <c r="B252" s="130">
        <f>cennik!G255</f>
        <v>0</v>
      </c>
      <c r="C252" s="144"/>
      <c r="D252" s="145"/>
      <c r="E252" s="146"/>
      <c r="F252" s="146"/>
      <c r="G252" s="146"/>
      <c r="H252" s="146"/>
    </row>
    <row r="253" spans="1:8" x14ac:dyDescent="0.25">
      <c r="A253" s="132" t="s">
        <v>143</v>
      </c>
      <c r="B253" s="130">
        <f>cennik!G256</f>
        <v>0</v>
      </c>
      <c r="C253" s="144"/>
      <c r="D253" s="145"/>
      <c r="E253" s="146"/>
      <c r="F253" s="146"/>
      <c r="G253" s="146"/>
      <c r="H253" s="146"/>
    </row>
    <row r="254" spans="1:8" x14ac:dyDescent="0.25">
      <c r="A254" s="132" t="s">
        <v>144</v>
      </c>
      <c r="B254" s="130">
        <f>cennik!G257</f>
        <v>0</v>
      </c>
      <c r="C254" s="144"/>
      <c r="D254" s="145"/>
      <c r="E254" s="146"/>
      <c r="F254" s="146"/>
      <c r="G254" s="146"/>
      <c r="H254" s="146"/>
    </row>
    <row r="255" spans="1:8" x14ac:dyDescent="0.25">
      <c r="A255" s="132" t="s">
        <v>145</v>
      </c>
      <c r="B255" s="130">
        <f>cennik!G258</f>
        <v>0</v>
      </c>
      <c r="C255" s="144"/>
      <c r="D255" s="145"/>
      <c r="E255" s="146"/>
      <c r="F255" s="146"/>
      <c r="G255" s="146"/>
      <c r="H255" s="146"/>
    </row>
    <row r="256" spans="1:8" x14ac:dyDescent="0.25">
      <c r="A256" s="132" t="s">
        <v>146</v>
      </c>
      <c r="B256" s="130">
        <f>cennik!G259</f>
        <v>0</v>
      </c>
      <c r="C256" s="144"/>
      <c r="D256" s="145"/>
      <c r="E256" s="146"/>
      <c r="F256" s="146"/>
      <c r="G256" s="146"/>
      <c r="H256" s="146"/>
    </row>
    <row r="257" spans="1:8" x14ac:dyDescent="0.25">
      <c r="A257" s="132" t="s">
        <v>147</v>
      </c>
      <c r="B257" s="130">
        <f>cennik!G260</f>
        <v>0</v>
      </c>
      <c r="C257" s="144"/>
      <c r="D257" s="145"/>
      <c r="E257" s="146"/>
      <c r="F257" s="146"/>
      <c r="G257" s="146"/>
      <c r="H257" s="146"/>
    </row>
    <row r="258" spans="1:8" x14ac:dyDescent="0.25">
      <c r="A258" s="129" t="s">
        <v>148</v>
      </c>
      <c r="B258" s="130">
        <f>cennik!G261</f>
        <v>0</v>
      </c>
      <c r="C258" s="144"/>
      <c r="D258" s="145"/>
      <c r="E258" s="146"/>
      <c r="F258" s="146"/>
      <c r="G258" s="146"/>
      <c r="H258" s="146"/>
    </row>
    <row r="259" spans="1:8" x14ac:dyDescent="0.25">
      <c r="A259" s="129" t="s">
        <v>149</v>
      </c>
      <c r="B259" s="130">
        <f>cennik!G262</f>
        <v>0</v>
      </c>
      <c r="C259" s="144"/>
      <c r="D259" s="145"/>
      <c r="E259" s="146"/>
      <c r="F259" s="146"/>
      <c r="G259" s="146"/>
      <c r="H259" s="146"/>
    </row>
    <row r="260" spans="1:8" x14ac:dyDescent="0.25">
      <c r="A260" s="129" t="s">
        <v>150</v>
      </c>
      <c r="B260" s="130">
        <f>cennik!G263</f>
        <v>0</v>
      </c>
      <c r="C260" s="144"/>
      <c r="D260" s="145"/>
      <c r="E260" s="146"/>
      <c r="F260" s="146"/>
      <c r="G260" s="146"/>
      <c r="H260" s="146"/>
    </row>
    <row r="261" spans="1:8" x14ac:dyDescent="0.25">
      <c r="A261" s="129" t="s">
        <v>151</v>
      </c>
      <c r="B261" s="130">
        <f>cennik!G264</f>
        <v>0</v>
      </c>
      <c r="C261" s="144"/>
      <c r="D261" s="145"/>
      <c r="E261" s="146"/>
      <c r="F261" s="146"/>
      <c r="G261" s="146"/>
      <c r="H261" s="146"/>
    </row>
    <row r="262" spans="1:8" x14ac:dyDescent="0.25">
      <c r="A262" s="129" t="s">
        <v>152</v>
      </c>
      <c r="B262" s="130">
        <f>cennik!G265</f>
        <v>0</v>
      </c>
      <c r="C262" s="144"/>
      <c r="D262" s="145"/>
      <c r="E262" s="146"/>
      <c r="F262" s="146"/>
      <c r="G262" s="146"/>
      <c r="H262" s="146"/>
    </row>
    <row r="263" spans="1:8" x14ac:dyDescent="0.25">
      <c r="A263" s="129" t="s">
        <v>153</v>
      </c>
      <c r="B263" s="130">
        <f>cennik!G266</f>
        <v>0</v>
      </c>
      <c r="C263" s="144"/>
      <c r="D263" s="145"/>
      <c r="E263" s="146"/>
      <c r="F263" s="146"/>
      <c r="G263" s="146"/>
      <c r="H263" s="146"/>
    </row>
    <row r="264" spans="1:8" x14ac:dyDescent="0.25">
      <c r="A264" s="129" t="s">
        <v>154</v>
      </c>
      <c r="B264" s="130">
        <f>cennik!G267</f>
        <v>0</v>
      </c>
      <c r="C264" s="144"/>
      <c r="D264" s="145"/>
      <c r="E264" s="146"/>
      <c r="F264" s="146"/>
      <c r="G264" s="146"/>
      <c r="H264" s="146"/>
    </row>
    <row r="265" spans="1:8" x14ac:dyDescent="0.25">
      <c r="A265" s="129" t="s">
        <v>155</v>
      </c>
      <c r="B265" s="130">
        <f>cennik!G268</f>
        <v>0</v>
      </c>
      <c r="C265" s="144"/>
      <c r="D265" s="145"/>
      <c r="E265" s="146"/>
      <c r="F265" s="146"/>
      <c r="G265" s="146"/>
      <c r="H265" s="146"/>
    </row>
    <row r="266" spans="1:8" x14ac:dyDescent="0.25">
      <c r="A266" s="129" t="s">
        <v>156</v>
      </c>
      <c r="B266" s="130">
        <f>cennik!G269</f>
        <v>0</v>
      </c>
      <c r="C266" s="144"/>
      <c r="D266" s="145"/>
      <c r="E266" s="146"/>
      <c r="F266" s="146"/>
      <c r="G266" s="146"/>
      <c r="H266" s="146"/>
    </row>
    <row r="267" spans="1:8" x14ac:dyDescent="0.25">
      <c r="A267" s="129" t="s">
        <v>157</v>
      </c>
      <c r="B267" s="130">
        <f>cennik!G270</f>
        <v>0</v>
      </c>
      <c r="C267" s="144"/>
      <c r="D267" s="145"/>
      <c r="E267" s="146"/>
      <c r="F267" s="146"/>
      <c r="G267" s="146"/>
      <c r="H267" s="146"/>
    </row>
    <row r="268" spans="1:8" x14ac:dyDescent="0.25">
      <c r="A268" s="129" t="s">
        <v>158</v>
      </c>
      <c r="B268" s="130">
        <f>cennik!G271</f>
        <v>0</v>
      </c>
      <c r="C268" s="144"/>
      <c r="D268" s="145"/>
      <c r="E268" s="146"/>
      <c r="F268" s="146"/>
      <c r="G268" s="146"/>
      <c r="H268" s="146"/>
    </row>
    <row r="269" spans="1:8" x14ac:dyDescent="0.25">
      <c r="A269" s="129" t="s">
        <v>159</v>
      </c>
      <c r="B269" s="130">
        <f>cennik!G272</f>
        <v>0</v>
      </c>
      <c r="C269" s="144"/>
      <c r="D269" s="145"/>
      <c r="E269" s="146"/>
      <c r="F269" s="146"/>
      <c r="G269" s="146"/>
      <c r="H269" s="146"/>
    </row>
    <row r="270" spans="1:8" x14ac:dyDescent="0.25">
      <c r="A270" s="129" t="s">
        <v>160</v>
      </c>
      <c r="B270" s="130">
        <f>cennik!G273</f>
        <v>0</v>
      </c>
      <c r="C270" s="144"/>
      <c r="D270" s="145"/>
      <c r="E270" s="146"/>
      <c r="F270" s="146"/>
      <c r="G270" s="146"/>
      <c r="H270" s="146"/>
    </row>
    <row r="271" spans="1:8" x14ac:dyDescent="0.25">
      <c r="A271" s="129" t="s">
        <v>161</v>
      </c>
      <c r="B271" s="130">
        <f>cennik!G274</f>
        <v>0</v>
      </c>
      <c r="C271" s="144"/>
      <c r="D271" s="145"/>
      <c r="E271" s="146"/>
      <c r="F271" s="146"/>
      <c r="G271" s="146"/>
      <c r="H271" s="146"/>
    </row>
    <row r="272" spans="1:8" x14ac:dyDescent="0.25">
      <c r="A272" s="129" t="s">
        <v>162</v>
      </c>
      <c r="B272" s="130">
        <f>cennik!G275</f>
        <v>0</v>
      </c>
      <c r="C272" s="144"/>
      <c r="D272" s="145"/>
      <c r="E272" s="146"/>
      <c r="F272" s="146"/>
      <c r="G272" s="146"/>
      <c r="H272" s="146"/>
    </row>
    <row r="273" spans="1:8" x14ac:dyDescent="0.25">
      <c r="A273" s="129" t="s">
        <v>163</v>
      </c>
      <c r="B273" s="130">
        <f>cennik!G276</f>
        <v>0</v>
      </c>
      <c r="C273" s="144"/>
      <c r="D273" s="145"/>
      <c r="E273" s="146"/>
      <c r="F273" s="146"/>
      <c r="G273" s="146"/>
      <c r="H273" s="146"/>
    </row>
    <row r="274" spans="1:8" x14ac:dyDescent="0.25">
      <c r="A274" s="129" t="s">
        <v>164</v>
      </c>
      <c r="B274" s="130">
        <f>cennik!G277</f>
        <v>0</v>
      </c>
      <c r="C274" s="144"/>
      <c r="D274" s="145"/>
      <c r="E274" s="146"/>
      <c r="F274" s="146"/>
      <c r="G274" s="146"/>
      <c r="H274" s="146"/>
    </row>
    <row r="275" spans="1:8" x14ac:dyDescent="0.25">
      <c r="A275" s="129" t="s">
        <v>165</v>
      </c>
      <c r="B275" s="130">
        <f>cennik!G278</f>
        <v>0</v>
      </c>
      <c r="C275" s="144"/>
      <c r="D275" s="145"/>
      <c r="E275" s="146"/>
      <c r="F275" s="146"/>
      <c r="G275" s="146"/>
      <c r="H275" s="146"/>
    </row>
    <row r="276" spans="1:8" x14ac:dyDescent="0.25">
      <c r="A276" s="129" t="s">
        <v>166</v>
      </c>
      <c r="B276" s="130">
        <f>cennik!G279</f>
        <v>0</v>
      </c>
      <c r="C276" s="144"/>
      <c r="D276" s="145"/>
      <c r="E276" s="146"/>
      <c r="F276" s="146"/>
      <c r="G276" s="146"/>
      <c r="H276" s="146"/>
    </row>
    <row r="277" spans="1:8" x14ac:dyDescent="0.25">
      <c r="A277" s="129" t="s">
        <v>167</v>
      </c>
      <c r="B277" s="130">
        <f>cennik!G280</f>
        <v>0</v>
      </c>
      <c r="C277" s="144"/>
      <c r="D277" s="145"/>
      <c r="E277" s="146"/>
      <c r="F277" s="146"/>
      <c r="G277" s="146"/>
      <c r="H277" s="146"/>
    </row>
    <row r="278" spans="1:8" x14ac:dyDescent="0.25">
      <c r="A278" s="129" t="s">
        <v>168</v>
      </c>
      <c r="B278" s="130">
        <f>cennik!G281</f>
        <v>0</v>
      </c>
      <c r="C278" s="144"/>
      <c r="D278" s="145"/>
      <c r="E278" s="146"/>
      <c r="F278" s="146"/>
      <c r="G278" s="146"/>
      <c r="H278" s="146"/>
    </row>
    <row r="279" spans="1:8" x14ac:dyDescent="0.25">
      <c r="A279" s="129" t="s">
        <v>169</v>
      </c>
      <c r="B279" s="130">
        <f>cennik!G282</f>
        <v>0</v>
      </c>
      <c r="C279" s="144"/>
      <c r="D279" s="145"/>
      <c r="E279" s="146"/>
      <c r="F279" s="146"/>
      <c r="G279" s="146"/>
      <c r="H279" s="146"/>
    </row>
    <row r="280" spans="1:8" x14ac:dyDescent="0.25">
      <c r="A280" s="129" t="s">
        <v>170</v>
      </c>
      <c r="B280" s="130">
        <f>cennik!G283</f>
        <v>0</v>
      </c>
      <c r="C280" s="144"/>
      <c r="D280" s="145"/>
      <c r="E280" s="146"/>
      <c r="F280" s="146"/>
      <c r="G280" s="146"/>
      <c r="H280" s="146"/>
    </row>
    <row r="281" spans="1:8" x14ac:dyDescent="0.25">
      <c r="A281" s="129" t="s">
        <v>171</v>
      </c>
      <c r="B281" s="130">
        <f>cennik!G284</f>
        <v>0</v>
      </c>
      <c r="C281" s="144"/>
      <c r="D281" s="145"/>
      <c r="E281" s="146"/>
      <c r="F281" s="146"/>
      <c r="G281" s="146"/>
      <c r="H281" s="146"/>
    </row>
    <row r="282" spans="1:8" x14ac:dyDescent="0.25">
      <c r="A282" s="129" t="s">
        <v>172</v>
      </c>
      <c r="B282" s="130">
        <f>cennik!G285</f>
        <v>0</v>
      </c>
      <c r="C282" s="144"/>
      <c r="D282" s="145"/>
      <c r="E282" s="146"/>
      <c r="F282" s="146"/>
      <c r="G282" s="146"/>
      <c r="H282" s="146"/>
    </row>
    <row r="283" spans="1:8" x14ac:dyDescent="0.25">
      <c r="A283" s="129" t="s">
        <v>173</v>
      </c>
      <c r="B283" s="130">
        <f>cennik!G286</f>
        <v>0</v>
      </c>
      <c r="C283" s="144"/>
      <c r="D283" s="145"/>
      <c r="E283" s="146"/>
      <c r="F283" s="146"/>
      <c r="G283" s="146"/>
      <c r="H283" s="146"/>
    </row>
    <row r="284" spans="1:8" x14ac:dyDescent="0.25">
      <c r="A284" s="129" t="s">
        <v>174</v>
      </c>
      <c r="B284" s="130">
        <f>cennik!G287</f>
        <v>0</v>
      </c>
      <c r="C284" s="144"/>
      <c r="D284" s="145"/>
      <c r="E284" s="146"/>
      <c r="F284" s="146"/>
      <c r="G284" s="146"/>
      <c r="H284" s="146"/>
    </row>
    <row r="285" spans="1:8" x14ac:dyDescent="0.25">
      <c r="A285" s="129" t="s">
        <v>175</v>
      </c>
      <c r="B285" s="130">
        <f>cennik!G288</f>
        <v>0</v>
      </c>
      <c r="C285" s="144"/>
      <c r="D285" s="145"/>
      <c r="E285" s="146"/>
      <c r="F285" s="146"/>
      <c r="G285" s="146"/>
      <c r="H285" s="146"/>
    </row>
    <row r="286" spans="1:8" x14ac:dyDescent="0.25">
      <c r="A286" s="139" t="s">
        <v>305</v>
      </c>
      <c r="B286" s="130">
        <f>cennik!G289</f>
        <v>0</v>
      </c>
      <c r="C286" s="144"/>
      <c r="D286" s="145"/>
      <c r="E286" s="146"/>
      <c r="F286" s="146"/>
      <c r="G286" s="146"/>
      <c r="H286" s="146"/>
    </row>
    <row r="287" spans="1:8" x14ac:dyDescent="0.25">
      <c r="A287" s="139" t="s">
        <v>304</v>
      </c>
      <c r="B287" s="130">
        <f>cennik!G290</f>
        <v>0</v>
      </c>
      <c r="C287" s="144"/>
      <c r="D287" s="145"/>
      <c r="E287" s="146"/>
      <c r="F287" s="146"/>
      <c r="G287" s="146"/>
      <c r="H287" s="146"/>
    </row>
    <row r="288" spans="1:8" x14ac:dyDescent="0.25">
      <c r="A288" s="139" t="s">
        <v>303</v>
      </c>
      <c r="B288" s="130">
        <f>cennik!G291</f>
        <v>0</v>
      </c>
      <c r="C288" s="144"/>
      <c r="D288" s="145"/>
      <c r="E288" s="146"/>
      <c r="F288" s="146"/>
      <c r="G288" s="146"/>
      <c r="H288" s="146"/>
    </row>
    <row r="289" spans="1:8" x14ac:dyDescent="0.25">
      <c r="A289" s="139" t="s">
        <v>302</v>
      </c>
      <c r="B289" s="130">
        <f>cennik!G292</f>
        <v>0</v>
      </c>
      <c r="C289" s="144"/>
      <c r="D289" s="145"/>
      <c r="E289" s="146"/>
      <c r="F289" s="146"/>
      <c r="G289" s="146"/>
      <c r="H289" s="146"/>
    </row>
    <row r="290" spans="1:8" x14ac:dyDescent="0.25">
      <c r="A290" s="134" t="s">
        <v>428</v>
      </c>
      <c r="B290" s="130">
        <f>cennik!G293</f>
        <v>0</v>
      </c>
      <c r="C290" s="144"/>
      <c r="D290" s="145"/>
      <c r="E290" s="146"/>
      <c r="F290" s="146"/>
      <c r="G290" s="146"/>
      <c r="H290" s="146"/>
    </row>
    <row r="291" spans="1:8" x14ac:dyDescent="0.25">
      <c r="A291" s="134" t="s">
        <v>429</v>
      </c>
      <c r="B291" s="130">
        <f>cennik!G294</f>
        <v>0</v>
      </c>
      <c r="C291" s="144"/>
      <c r="D291" s="145"/>
      <c r="E291" s="146"/>
      <c r="F291" s="146"/>
      <c r="G291" s="146"/>
      <c r="H291" s="146"/>
    </row>
    <row r="292" spans="1:8" x14ac:dyDescent="0.25">
      <c r="A292" s="139" t="s">
        <v>300</v>
      </c>
      <c r="B292" s="130">
        <f>cennik!G295</f>
        <v>0</v>
      </c>
      <c r="C292" s="144"/>
      <c r="D292" s="145"/>
      <c r="E292" s="146"/>
      <c r="F292" s="146"/>
      <c r="G292" s="146"/>
      <c r="H292" s="146"/>
    </row>
    <row r="293" spans="1:8" x14ac:dyDescent="0.25">
      <c r="A293" s="139" t="s">
        <v>301</v>
      </c>
      <c r="B293" s="130">
        <f>cennik!G296</f>
        <v>0</v>
      </c>
      <c r="C293" s="144"/>
      <c r="D293" s="145"/>
      <c r="E293" s="146"/>
      <c r="F293" s="146"/>
      <c r="G293" s="146"/>
      <c r="H293" s="146"/>
    </row>
    <row r="294" spans="1:8" x14ac:dyDescent="0.25">
      <c r="A294" s="134" t="s">
        <v>430</v>
      </c>
      <c r="B294" s="130">
        <f>cennik!G297</f>
        <v>0</v>
      </c>
      <c r="C294" s="144"/>
      <c r="D294" s="145"/>
      <c r="E294" s="146"/>
      <c r="F294" s="146"/>
      <c r="G294" s="146"/>
      <c r="H294" s="146"/>
    </row>
    <row r="295" spans="1:8" x14ac:dyDescent="0.25">
      <c r="A295" s="134" t="s">
        <v>431</v>
      </c>
      <c r="B295" s="130">
        <f>cennik!G298</f>
        <v>0</v>
      </c>
      <c r="C295" s="144"/>
      <c r="D295" s="145"/>
      <c r="E295" s="146"/>
      <c r="F295" s="146"/>
      <c r="G295" s="146"/>
      <c r="H295" s="146"/>
    </row>
    <row r="296" spans="1:8" x14ac:dyDescent="0.25">
      <c r="A296" s="139" t="s">
        <v>246</v>
      </c>
      <c r="B296" s="130">
        <f>cennik!G299</f>
        <v>0</v>
      </c>
      <c r="C296" s="144"/>
      <c r="D296" s="145"/>
      <c r="E296" s="146"/>
      <c r="F296" s="146"/>
      <c r="G296" s="146"/>
      <c r="H296" s="146"/>
    </row>
    <row r="297" spans="1:8" x14ac:dyDescent="0.25">
      <c r="A297" s="139" t="s">
        <v>247</v>
      </c>
      <c r="B297" s="130">
        <f>cennik!G300</f>
        <v>0</v>
      </c>
      <c r="C297" s="144"/>
      <c r="D297" s="145"/>
      <c r="E297" s="146"/>
      <c r="F297" s="146"/>
      <c r="G297" s="146"/>
      <c r="H297" s="146"/>
    </row>
    <row r="298" spans="1:8" x14ac:dyDescent="0.25">
      <c r="A298" s="139" t="s">
        <v>248</v>
      </c>
      <c r="B298" s="130">
        <f>cennik!G301</f>
        <v>0</v>
      </c>
      <c r="C298" s="144"/>
      <c r="D298" s="145"/>
      <c r="E298" s="146"/>
      <c r="F298" s="146"/>
      <c r="G298" s="146"/>
      <c r="H298" s="146"/>
    </row>
    <row r="299" spans="1:8" x14ac:dyDescent="0.25">
      <c r="A299" s="139" t="s">
        <v>249</v>
      </c>
      <c r="B299" s="130">
        <f>cennik!G302</f>
        <v>0</v>
      </c>
      <c r="C299" s="144"/>
      <c r="D299" s="145"/>
      <c r="E299" s="146"/>
      <c r="F299" s="146"/>
      <c r="G299" s="146"/>
      <c r="H299" s="146"/>
    </row>
    <row r="300" spans="1:8" x14ac:dyDescent="0.25">
      <c r="A300" s="139" t="s">
        <v>250</v>
      </c>
      <c r="B300" s="130">
        <f>cennik!G303</f>
        <v>0</v>
      </c>
      <c r="C300" s="144"/>
      <c r="D300" s="145"/>
      <c r="E300" s="146"/>
      <c r="F300" s="146"/>
      <c r="G300" s="146"/>
      <c r="H300" s="146"/>
    </row>
    <row r="301" spans="1:8" x14ac:dyDescent="0.25">
      <c r="A301" s="139" t="s">
        <v>251</v>
      </c>
      <c r="B301" s="130">
        <f>cennik!G304</f>
        <v>0</v>
      </c>
      <c r="C301" s="144"/>
      <c r="D301" s="145"/>
      <c r="E301" s="146"/>
      <c r="F301" s="146"/>
      <c r="G301" s="146"/>
      <c r="H301" s="146"/>
    </row>
    <row r="302" spans="1:8" x14ac:dyDescent="0.25">
      <c r="A302" s="139" t="s">
        <v>252</v>
      </c>
      <c r="B302" s="130">
        <f>cennik!G305</f>
        <v>0</v>
      </c>
      <c r="C302" s="144"/>
      <c r="D302" s="145"/>
      <c r="E302" s="146"/>
      <c r="F302" s="146"/>
      <c r="G302" s="146"/>
      <c r="H302" s="146"/>
    </row>
    <row r="303" spans="1:8" x14ac:dyDescent="0.25">
      <c r="A303" s="139" t="s">
        <v>253</v>
      </c>
      <c r="B303" s="130">
        <f>cennik!G306</f>
        <v>0</v>
      </c>
      <c r="C303" s="144"/>
      <c r="D303" s="145"/>
      <c r="E303" s="146"/>
      <c r="F303" s="146"/>
      <c r="G303" s="146"/>
      <c r="H303" s="146"/>
    </row>
    <row r="304" spans="1:8" x14ac:dyDescent="0.25">
      <c r="A304" s="139" t="s">
        <v>254</v>
      </c>
      <c r="B304" s="130">
        <f>cennik!G307</f>
        <v>0</v>
      </c>
      <c r="C304" s="144"/>
      <c r="D304" s="145"/>
      <c r="E304" s="146"/>
      <c r="F304" s="146"/>
      <c r="G304" s="146"/>
      <c r="H304" s="146"/>
    </row>
    <row r="305" spans="1:9" x14ac:dyDescent="0.25">
      <c r="A305" s="139" t="s">
        <v>255</v>
      </c>
      <c r="B305" s="130">
        <f>cennik!G308</f>
        <v>0</v>
      </c>
      <c r="C305" s="144"/>
      <c r="D305" s="145"/>
      <c r="E305" s="146"/>
      <c r="F305" s="146"/>
      <c r="G305" s="146"/>
      <c r="H305" s="146"/>
    </row>
    <row r="306" spans="1:9" x14ac:dyDescent="0.25">
      <c r="A306" s="139" t="s">
        <v>256</v>
      </c>
      <c r="B306" s="130">
        <f>cennik!G309</f>
        <v>0</v>
      </c>
      <c r="C306" s="144"/>
      <c r="D306" s="145"/>
      <c r="E306" s="146"/>
      <c r="F306" s="146"/>
      <c r="G306" s="146"/>
      <c r="H306" s="146"/>
    </row>
    <row r="307" spans="1:9" x14ac:dyDescent="0.25">
      <c r="A307" s="139" t="s">
        <v>257</v>
      </c>
      <c r="B307" s="130">
        <f>cennik!G310</f>
        <v>0</v>
      </c>
      <c r="C307" s="144"/>
      <c r="D307" s="145"/>
      <c r="E307" s="146"/>
      <c r="F307" s="146"/>
      <c r="G307" s="146"/>
      <c r="H307" s="146"/>
    </row>
    <row r="308" spans="1:9" x14ac:dyDescent="0.25">
      <c r="A308" s="139" t="s">
        <v>258</v>
      </c>
      <c r="B308" s="130">
        <f>cennik!G311</f>
        <v>0</v>
      </c>
      <c r="C308" s="144"/>
      <c r="D308" s="145"/>
      <c r="E308" s="146"/>
      <c r="F308" s="146"/>
      <c r="G308" s="146"/>
      <c r="H308" s="146"/>
    </row>
    <row r="309" spans="1:9" x14ac:dyDescent="0.25">
      <c r="A309" s="139" t="s">
        <v>259</v>
      </c>
      <c r="B309" s="130">
        <f>cennik!G312</f>
        <v>0</v>
      </c>
      <c r="C309" s="144"/>
      <c r="D309" s="145"/>
      <c r="E309" s="146"/>
      <c r="F309" s="146"/>
      <c r="G309" s="146"/>
      <c r="H309" s="146"/>
    </row>
    <row r="310" spans="1:9" x14ac:dyDescent="0.25">
      <c r="A310" s="139" t="s">
        <v>260</v>
      </c>
      <c r="B310" s="130">
        <f>cennik!G313</f>
        <v>0</v>
      </c>
      <c r="C310" s="144"/>
      <c r="D310" s="145"/>
      <c r="E310" s="146"/>
      <c r="F310" s="146"/>
      <c r="G310" s="146"/>
      <c r="H310" s="146"/>
    </row>
    <row r="311" spans="1:9" x14ac:dyDescent="0.25">
      <c r="A311" s="140" t="s">
        <v>298</v>
      </c>
      <c r="B311" s="130">
        <f>cennik!G314</f>
        <v>0</v>
      </c>
      <c r="C311" s="144"/>
      <c r="D311" s="145"/>
      <c r="E311" s="146"/>
      <c r="F311" s="146"/>
      <c r="G311" s="146"/>
      <c r="H311" s="146"/>
    </row>
    <row r="312" spans="1:9" x14ac:dyDescent="0.25">
      <c r="A312" s="140" t="s">
        <v>299</v>
      </c>
      <c r="B312" s="130">
        <f>cennik!G315</f>
        <v>0</v>
      </c>
      <c r="C312" s="144"/>
      <c r="D312" s="145"/>
      <c r="E312" s="146"/>
      <c r="F312" s="146"/>
      <c r="G312" s="146"/>
      <c r="H312" s="146"/>
    </row>
    <row r="313" spans="1:9" x14ac:dyDescent="0.25">
      <c r="A313" s="140" t="s">
        <v>311</v>
      </c>
      <c r="B313" s="130">
        <f>cennik!G316</f>
        <v>0</v>
      </c>
      <c r="C313" s="144"/>
      <c r="D313" s="145"/>
      <c r="E313" s="146"/>
      <c r="F313" s="146"/>
      <c r="G313" s="146"/>
      <c r="H313" s="146"/>
    </row>
    <row r="315" spans="1:9" x14ac:dyDescent="0.25">
      <c r="A315" s="126" t="s">
        <v>446</v>
      </c>
      <c r="B315" s="155">
        <f>cennik!C318</f>
        <v>0</v>
      </c>
      <c r="C315" s="155"/>
    </row>
    <row r="316" spans="1:9" x14ac:dyDescent="0.25">
      <c r="A316" s="126" t="s">
        <v>447</v>
      </c>
      <c r="B316" s="156">
        <f>cennik!L317</f>
        <v>0</v>
      </c>
      <c r="C316" s="155"/>
    </row>
    <row r="317" spans="1:9" x14ac:dyDescent="0.25">
      <c r="A317" s="126" t="s">
        <v>448</v>
      </c>
      <c r="B317" s="155">
        <f>cennik!C320</f>
        <v>0</v>
      </c>
      <c r="C317" s="155"/>
    </row>
    <row r="319" spans="1:9" x14ac:dyDescent="0.25">
      <c r="A319" s="157"/>
      <c r="B319" s="157"/>
      <c r="C319" s="157"/>
      <c r="D319" s="157"/>
      <c r="E319" s="157"/>
      <c r="F319" s="157"/>
      <c r="G319" s="157"/>
      <c r="H319" s="157"/>
      <c r="I319" s="157"/>
    </row>
    <row r="320" spans="1:9" x14ac:dyDescent="0.25">
      <c r="A320" s="157"/>
      <c r="B320" s="157"/>
      <c r="C320" s="157"/>
      <c r="D320" s="157"/>
      <c r="E320" s="157"/>
      <c r="F320" s="157"/>
      <c r="G320" s="157"/>
      <c r="H320" s="157"/>
      <c r="I320" s="157"/>
    </row>
    <row r="321" spans="1:9" x14ac:dyDescent="0.25">
      <c r="A321" s="157"/>
      <c r="B321" s="157"/>
      <c r="C321" s="157"/>
      <c r="D321" s="157"/>
      <c r="E321" s="157"/>
      <c r="F321" s="157"/>
      <c r="G321" s="157"/>
      <c r="H321" s="157"/>
      <c r="I321" s="157"/>
    </row>
    <row r="323" spans="1:9" x14ac:dyDescent="0.25">
      <c r="A323" s="157"/>
      <c r="B323" s="157"/>
      <c r="C323" s="157"/>
      <c r="D323" s="157"/>
      <c r="E323" s="157"/>
      <c r="F323" s="157"/>
      <c r="G323" s="157"/>
      <c r="H323" s="157"/>
      <c r="I323" s="157"/>
    </row>
    <row r="324" spans="1:9" x14ac:dyDescent="0.25">
      <c r="A324" s="157"/>
      <c r="B324" s="157"/>
      <c r="C324" s="157"/>
      <c r="D324" s="157"/>
      <c r="E324" s="157"/>
      <c r="F324" s="157"/>
      <c r="G324" s="157"/>
      <c r="H324" s="157"/>
      <c r="I324" s="157"/>
    </row>
    <row r="325" spans="1:9" x14ac:dyDescent="0.25">
      <c r="A325" s="157"/>
      <c r="B325" s="157"/>
      <c r="C325" s="157"/>
      <c r="D325" s="157"/>
      <c r="E325" s="157"/>
      <c r="F325" s="157"/>
      <c r="G325" s="157"/>
      <c r="H325" s="157"/>
      <c r="I325" s="157"/>
    </row>
    <row r="327" spans="1:9" x14ac:dyDescent="0.25">
      <c r="A327" s="157"/>
      <c r="B327" s="157"/>
      <c r="C327" s="157"/>
      <c r="D327" s="157"/>
      <c r="E327" s="157"/>
      <c r="F327" s="157"/>
      <c r="G327" s="157"/>
      <c r="H327" s="157"/>
      <c r="I327" s="157"/>
    </row>
    <row r="328" spans="1:9" x14ac:dyDescent="0.25">
      <c r="A328" s="157"/>
      <c r="B328" s="157"/>
      <c r="C328" s="157"/>
      <c r="D328" s="157"/>
      <c r="E328" s="157"/>
      <c r="F328" s="157"/>
      <c r="G328" s="157"/>
      <c r="H328" s="157"/>
      <c r="I328" s="157"/>
    </row>
    <row r="329" spans="1:9" x14ac:dyDescent="0.25">
      <c r="A329" s="157"/>
      <c r="B329" s="157"/>
      <c r="C329" s="157"/>
      <c r="D329" s="157"/>
      <c r="E329" s="157"/>
      <c r="F329" s="157"/>
      <c r="G329" s="157"/>
      <c r="H329" s="157"/>
      <c r="I329" s="157"/>
    </row>
    <row r="331" spans="1:9" x14ac:dyDescent="0.25">
      <c r="A331" s="157"/>
      <c r="B331" s="157"/>
      <c r="C331" s="157"/>
      <c r="D331" s="157"/>
      <c r="E331" s="157"/>
      <c r="F331" s="157"/>
      <c r="G331" s="157"/>
      <c r="H331" s="157"/>
      <c r="I331" s="157"/>
    </row>
    <row r="332" spans="1:9" x14ac:dyDescent="0.25">
      <c r="A332" s="157"/>
      <c r="B332" s="157"/>
      <c r="C332" s="157"/>
      <c r="D332" s="157"/>
      <c r="E332" s="157"/>
      <c r="F332" s="157"/>
      <c r="G332" s="157"/>
      <c r="H332" s="157"/>
      <c r="I332" s="157"/>
    </row>
    <row r="333" spans="1:9" x14ac:dyDescent="0.25">
      <c r="A333" s="157"/>
      <c r="B333" s="157"/>
      <c r="C333" s="157"/>
      <c r="D333" s="157"/>
      <c r="E333" s="157"/>
      <c r="F333" s="157"/>
      <c r="G333" s="157"/>
      <c r="H333" s="157"/>
      <c r="I333" s="157"/>
    </row>
    <row r="335" spans="1:9" x14ac:dyDescent="0.25">
      <c r="A335" s="157"/>
      <c r="B335" s="157"/>
      <c r="C335" s="157"/>
      <c r="D335" s="157"/>
      <c r="E335" s="157"/>
      <c r="F335" s="157"/>
      <c r="G335" s="157"/>
      <c r="H335" s="157"/>
      <c r="I335" s="157"/>
    </row>
    <row r="336" spans="1:9" x14ac:dyDescent="0.25">
      <c r="A336" s="157"/>
      <c r="B336" s="157"/>
      <c r="C336" s="157"/>
      <c r="D336" s="157"/>
      <c r="E336" s="157"/>
      <c r="F336" s="157"/>
      <c r="G336" s="157"/>
      <c r="H336" s="157"/>
      <c r="I336" s="157"/>
    </row>
    <row r="337" spans="1:9" x14ac:dyDescent="0.25">
      <c r="A337" s="157"/>
      <c r="B337" s="157"/>
      <c r="C337" s="157"/>
      <c r="D337" s="157"/>
      <c r="E337" s="157"/>
      <c r="F337" s="157"/>
      <c r="G337" s="157"/>
      <c r="H337" s="157"/>
      <c r="I337" s="157"/>
    </row>
    <row r="339" spans="1:9" x14ac:dyDescent="0.25">
      <c r="A339" s="157"/>
      <c r="B339" s="157"/>
      <c r="C339" s="157"/>
      <c r="D339" s="157"/>
      <c r="E339" s="157"/>
      <c r="F339" s="157"/>
      <c r="G339" s="157"/>
      <c r="H339" s="157"/>
      <c r="I339" s="157"/>
    </row>
    <row r="340" spans="1:9" x14ac:dyDescent="0.25">
      <c r="A340" s="157"/>
      <c r="B340" s="157"/>
      <c r="C340" s="157"/>
      <c r="D340" s="157"/>
      <c r="E340" s="157"/>
      <c r="F340" s="157"/>
      <c r="G340" s="157"/>
      <c r="H340" s="157"/>
      <c r="I340" s="157"/>
    </row>
    <row r="341" spans="1:9" x14ac:dyDescent="0.25">
      <c r="A341" s="157"/>
      <c r="B341" s="157"/>
      <c r="C341" s="157"/>
      <c r="D341" s="157"/>
      <c r="E341" s="157"/>
      <c r="F341" s="157"/>
      <c r="G341" s="157"/>
      <c r="H341" s="157"/>
      <c r="I341" s="157"/>
    </row>
    <row r="343" spans="1:9" x14ac:dyDescent="0.25">
      <c r="A343" s="157"/>
      <c r="B343" s="157"/>
      <c r="C343" s="157"/>
      <c r="D343" s="157"/>
      <c r="E343" s="157"/>
      <c r="F343" s="157"/>
      <c r="G343" s="157"/>
      <c r="H343" s="157"/>
      <c r="I343" s="157"/>
    </row>
    <row r="344" spans="1:9" x14ac:dyDescent="0.25">
      <c r="A344" s="157"/>
      <c r="B344" s="157"/>
      <c r="C344" s="157"/>
      <c r="D344" s="157"/>
      <c r="E344" s="157"/>
      <c r="F344" s="157"/>
      <c r="G344" s="157"/>
      <c r="H344" s="157"/>
      <c r="I344" s="157"/>
    </row>
    <row r="345" spans="1:9" x14ac:dyDescent="0.25">
      <c r="A345" s="157"/>
      <c r="B345" s="157"/>
      <c r="C345" s="157"/>
      <c r="D345" s="157"/>
      <c r="E345" s="157"/>
      <c r="F345" s="157"/>
      <c r="G345" s="157"/>
      <c r="H345" s="157"/>
      <c r="I345" s="157"/>
    </row>
  </sheetData>
  <sheetProtection algorithmName="SHA-512" hashValue="2eISRjIERQ1YGSEIMjRN8Z1p7lLwQ2M3OaeyztGUIgCLLvCkmahZ61BW5GXAMpbeXGbfAlG8JrsYRtSW4FWHXQ==" saltValue="vr7Nb3FhsYT/dA7nQ4jwLw==" spinCount="100000" sheet="1" objects="1" scenarios="1"/>
  <mergeCells count="40">
    <mergeCell ref="A345:D345"/>
    <mergeCell ref="E345:I345"/>
    <mergeCell ref="A340:I340"/>
    <mergeCell ref="A341:D341"/>
    <mergeCell ref="E341:I341"/>
    <mergeCell ref="A343:D343"/>
    <mergeCell ref="E343:I343"/>
    <mergeCell ref="A344:I344"/>
    <mergeCell ref="A339:D339"/>
    <mergeCell ref="E339:I339"/>
    <mergeCell ref="A329:D329"/>
    <mergeCell ref="E329:I329"/>
    <mergeCell ref="A331:D331"/>
    <mergeCell ref="E331:I331"/>
    <mergeCell ref="A332:I332"/>
    <mergeCell ref="A333:D333"/>
    <mergeCell ref="E333:I333"/>
    <mergeCell ref="A335:D335"/>
    <mergeCell ref="E335:I335"/>
    <mergeCell ref="A336:I336"/>
    <mergeCell ref="A337:D337"/>
    <mergeCell ref="E337:I337"/>
    <mergeCell ref="A328:I328"/>
    <mergeCell ref="A319:D319"/>
    <mergeCell ref="E319:I319"/>
    <mergeCell ref="A320:I320"/>
    <mergeCell ref="A321:D321"/>
    <mergeCell ref="E321:I321"/>
    <mergeCell ref="A323:D323"/>
    <mergeCell ref="E323:I323"/>
    <mergeCell ref="A324:I324"/>
    <mergeCell ref="A325:D325"/>
    <mergeCell ref="E325:I325"/>
    <mergeCell ref="A327:D327"/>
    <mergeCell ref="E327:I327"/>
    <mergeCell ref="A1:H2"/>
    <mergeCell ref="B3:H3"/>
    <mergeCell ref="B315:C315"/>
    <mergeCell ref="B316:C316"/>
    <mergeCell ref="B317:C31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A4EA-AB5A-4CD4-ABCB-8D20C25D65AD}">
  <sheetPr codeName="Arkusz3"/>
  <dimension ref="B1:J26"/>
  <sheetViews>
    <sheetView workbookViewId="0">
      <selection activeCell="J13" sqref="J13"/>
    </sheetView>
  </sheetViews>
  <sheetFormatPr defaultRowHeight="15" x14ac:dyDescent="0.25"/>
  <cols>
    <col min="1" max="1" width="2.7109375" customWidth="1"/>
    <col min="2" max="2" width="31.85546875" bestFit="1" customWidth="1"/>
    <col min="6" max="6" width="17.140625" customWidth="1"/>
    <col min="7" max="7" width="10.42578125" customWidth="1"/>
    <col min="10" max="10" width="18.7109375" customWidth="1"/>
  </cols>
  <sheetData>
    <row r="1" spans="2:10" x14ac:dyDescent="0.25">
      <c r="G1" s="43"/>
      <c r="H1" s="43"/>
    </row>
    <row r="2" spans="2:10" x14ac:dyDescent="0.25">
      <c r="B2" s="158" t="s">
        <v>398</v>
      </c>
      <c r="C2" s="159"/>
      <c r="D2" s="159"/>
      <c r="F2" s="158" t="s">
        <v>434</v>
      </c>
      <c r="G2" s="158"/>
      <c r="H2" s="43"/>
      <c r="J2" s="199" t="s">
        <v>448</v>
      </c>
    </row>
    <row r="3" spans="2:10" x14ac:dyDescent="0.25">
      <c r="B3" s="49" t="s">
        <v>377</v>
      </c>
      <c r="C3" s="51" t="s">
        <v>378</v>
      </c>
      <c r="D3" s="51" t="s">
        <v>379</v>
      </c>
      <c r="F3" s="98" t="s">
        <v>404</v>
      </c>
      <c r="G3" s="99" t="s">
        <v>406</v>
      </c>
      <c r="H3" s="43"/>
      <c r="J3" s="200" t="s">
        <v>450</v>
      </c>
    </row>
    <row r="4" spans="2:10" x14ac:dyDescent="0.25">
      <c r="B4" s="47" t="s">
        <v>380</v>
      </c>
      <c r="C4" s="112">
        <v>1</v>
      </c>
      <c r="D4" s="52" t="s">
        <v>416</v>
      </c>
      <c r="F4" s="97" t="s">
        <v>400</v>
      </c>
      <c r="G4" s="50">
        <v>10</v>
      </c>
      <c r="H4" s="43"/>
      <c r="I4">
        <v>1</v>
      </c>
      <c r="J4" s="200" t="s">
        <v>449</v>
      </c>
    </row>
    <row r="5" spans="2:10" x14ac:dyDescent="0.25">
      <c r="B5" s="47" t="s">
        <v>381</v>
      </c>
      <c r="C5" s="112">
        <v>2</v>
      </c>
      <c r="D5" s="52" t="s">
        <v>417</v>
      </c>
      <c r="F5" s="97" t="s">
        <v>399</v>
      </c>
      <c r="G5" s="50">
        <v>12</v>
      </c>
      <c r="H5" s="43"/>
      <c r="J5" s="201" t="s">
        <v>452</v>
      </c>
    </row>
    <row r="6" spans="2:10" x14ac:dyDescent="0.25">
      <c r="B6" s="47" t="s">
        <v>382</v>
      </c>
      <c r="C6" s="112">
        <v>3</v>
      </c>
      <c r="D6" s="52" t="s">
        <v>416</v>
      </c>
      <c r="F6" s="97" t="s">
        <v>401</v>
      </c>
      <c r="G6" s="50">
        <v>16</v>
      </c>
      <c r="H6" s="43"/>
      <c r="J6" s="201" t="s">
        <v>454</v>
      </c>
    </row>
    <row r="7" spans="2:10" x14ac:dyDescent="0.25">
      <c r="B7" s="47" t="s">
        <v>394</v>
      </c>
      <c r="C7" s="112">
        <v>4</v>
      </c>
      <c r="D7" s="52" t="s">
        <v>417</v>
      </c>
      <c r="F7" s="97" t="s">
        <v>402</v>
      </c>
      <c r="G7" s="50">
        <v>18</v>
      </c>
      <c r="H7" s="43"/>
    </row>
    <row r="8" spans="2:10" x14ac:dyDescent="0.25">
      <c r="B8" s="47" t="s">
        <v>383</v>
      </c>
      <c r="C8" s="112">
        <v>5</v>
      </c>
      <c r="D8" s="52" t="s">
        <v>416</v>
      </c>
      <c r="F8" s="97" t="s">
        <v>403</v>
      </c>
      <c r="G8" s="50">
        <v>22</v>
      </c>
      <c r="H8" s="43"/>
      <c r="J8" s="148" t="s">
        <v>455</v>
      </c>
    </row>
    <row r="9" spans="2:10" x14ac:dyDescent="0.25">
      <c r="B9" s="47" t="s">
        <v>384</v>
      </c>
      <c r="C9" s="112">
        <v>6</v>
      </c>
      <c r="D9" s="52" t="s">
        <v>417</v>
      </c>
      <c r="F9" s="97"/>
      <c r="G9" s="50">
        <v>23</v>
      </c>
      <c r="H9" s="43"/>
      <c r="J9" s="202">
        <v>2.5</v>
      </c>
    </row>
    <row r="10" spans="2:10" x14ac:dyDescent="0.25">
      <c r="B10" s="47" t="s">
        <v>385</v>
      </c>
      <c r="C10" s="112">
        <v>7</v>
      </c>
      <c r="D10" s="52" t="s">
        <v>416</v>
      </c>
      <c r="F10" s="97"/>
      <c r="G10" s="50">
        <v>24</v>
      </c>
      <c r="H10" s="43"/>
    </row>
    <row r="11" spans="2:10" x14ac:dyDescent="0.25">
      <c r="B11" s="47" t="s">
        <v>386</v>
      </c>
      <c r="C11" s="112">
        <v>8</v>
      </c>
      <c r="D11" s="52" t="s">
        <v>417</v>
      </c>
      <c r="F11" s="97"/>
      <c r="G11" s="50">
        <v>25</v>
      </c>
    </row>
    <row r="12" spans="2:10" x14ac:dyDescent="0.25">
      <c r="B12" s="47" t="s">
        <v>387</v>
      </c>
      <c r="C12" s="112">
        <v>9</v>
      </c>
      <c r="D12" s="52" t="s">
        <v>416</v>
      </c>
      <c r="F12" s="97"/>
      <c r="G12" s="50">
        <v>26</v>
      </c>
    </row>
    <row r="13" spans="2:10" x14ac:dyDescent="0.25">
      <c r="B13" s="47" t="s">
        <v>388</v>
      </c>
      <c r="C13" s="112">
        <v>10</v>
      </c>
      <c r="D13" s="52" t="s">
        <v>417</v>
      </c>
      <c r="F13" s="97"/>
      <c r="G13" s="50">
        <v>27</v>
      </c>
    </row>
    <row r="14" spans="2:10" x14ac:dyDescent="0.25">
      <c r="B14" s="47" t="s">
        <v>389</v>
      </c>
      <c r="C14" s="112">
        <v>11</v>
      </c>
      <c r="D14" s="52" t="s">
        <v>416</v>
      </c>
      <c r="F14" s="97"/>
      <c r="G14" s="50">
        <v>28</v>
      </c>
    </row>
    <row r="15" spans="2:10" x14ac:dyDescent="0.25">
      <c r="B15" s="47" t="s">
        <v>390</v>
      </c>
      <c r="C15" s="112">
        <v>12</v>
      </c>
      <c r="D15" s="52" t="s">
        <v>417</v>
      </c>
      <c r="F15" s="97"/>
      <c r="G15" s="50">
        <v>29</v>
      </c>
    </row>
    <row r="16" spans="2:10" x14ac:dyDescent="0.25">
      <c r="B16" s="47" t="s">
        <v>391</v>
      </c>
      <c r="C16" s="112">
        <v>13</v>
      </c>
      <c r="D16" s="52" t="s">
        <v>416</v>
      </c>
      <c r="F16" s="97"/>
      <c r="G16" s="50">
        <v>30</v>
      </c>
    </row>
    <row r="17" spans="2:7" x14ac:dyDescent="0.25">
      <c r="B17" s="47" t="s">
        <v>392</v>
      </c>
      <c r="C17" s="112">
        <v>14</v>
      </c>
      <c r="D17" s="52" t="s">
        <v>417</v>
      </c>
      <c r="F17" s="97"/>
      <c r="G17" s="50">
        <v>31</v>
      </c>
    </row>
    <row r="18" spans="2:7" x14ac:dyDescent="0.25">
      <c r="B18" s="47" t="s">
        <v>393</v>
      </c>
      <c r="C18" s="112">
        <v>15</v>
      </c>
      <c r="D18" s="52" t="s">
        <v>416</v>
      </c>
      <c r="F18" s="97"/>
      <c r="G18" s="50">
        <v>32</v>
      </c>
    </row>
    <row r="19" spans="2:7" x14ac:dyDescent="0.25">
      <c r="B19" s="47" t="s">
        <v>395</v>
      </c>
      <c r="C19" s="112">
        <v>16</v>
      </c>
      <c r="D19" s="52" t="s">
        <v>417</v>
      </c>
      <c r="F19" s="97"/>
      <c r="G19" s="50">
        <v>33</v>
      </c>
    </row>
    <row r="20" spans="2:7" x14ac:dyDescent="0.25">
      <c r="B20" s="47" t="s">
        <v>396</v>
      </c>
      <c r="C20" s="112">
        <v>17</v>
      </c>
      <c r="D20" s="52" t="s">
        <v>416</v>
      </c>
      <c r="F20" s="97"/>
      <c r="G20" s="50">
        <v>34</v>
      </c>
    </row>
    <row r="21" spans="2:7" x14ac:dyDescent="0.25">
      <c r="B21" s="47" t="s">
        <v>397</v>
      </c>
      <c r="C21" s="113">
        <v>18</v>
      </c>
      <c r="D21" s="48" t="s">
        <v>417</v>
      </c>
      <c r="F21" s="97"/>
      <c r="G21" s="50">
        <v>35</v>
      </c>
    </row>
    <row r="22" spans="2:7" x14ac:dyDescent="0.25">
      <c r="G22" s="50">
        <v>36</v>
      </c>
    </row>
    <row r="23" spans="2:7" x14ac:dyDescent="0.25">
      <c r="G23" s="50">
        <v>37</v>
      </c>
    </row>
    <row r="24" spans="2:7" x14ac:dyDescent="0.25">
      <c r="G24" s="50">
        <v>38</v>
      </c>
    </row>
    <row r="25" spans="2:7" x14ac:dyDescent="0.25">
      <c r="G25" s="50">
        <v>39</v>
      </c>
    </row>
    <row r="26" spans="2:7" x14ac:dyDescent="0.25">
      <c r="G26" s="50">
        <v>40</v>
      </c>
    </row>
  </sheetData>
  <sheetProtection algorithmName="SHA-512" hashValue="EhB9V9ttHhTINb5MeBrjCPlvID93IorwHDQSbZ/CMQ8zf+0VU68npc9bFr1pBDmO/tqr5qkoEEMw5A0sZ0p5+Q==" saltValue="SLodZpgq3ST/4fipF2uI+g==" spinCount="100000" sheet="1" objects="1" scenarios="1"/>
  <mergeCells count="2">
    <mergeCell ref="B2:D2"/>
    <mergeCell ref="F2:G2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cennik</vt:lpstr>
      <vt:lpstr>Komponenty pozasystemowe</vt:lpstr>
      <vt:lpstr>Wersja do druku</vt:lpstr>
      <vt:lpstr>Baza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Spryś</dc:creator>
  <cp:lastModifiedBy>Marcin</cp:lastModifiedBy>
  <cp:lastPrinted>2019-10-06T19:51:20Z</cp:lastPrinted>
  <dcterms:created xsi:type="dcterms:W3CDTF">2016-05-13T10:11:56Z</dcterms:created>
  <dcterms:modified xsi:type="dcterms:W3CDTF">2019-10-17T19:58:11Z</dcterms:modified>
</cp:coreProperties>
</file>